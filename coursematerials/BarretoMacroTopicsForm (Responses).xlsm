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barreto\Documents\macro\coursematerials\"/>
    </mc:Choice>
  </mc:AlternateContent>
  <bookViews>
    <workbookView xWindow="0" yWindow="0" windowWidth="28800" windowHeight="14385"/>
  </bookViews>
  <sheets>
    <sheet name="Form Responses" sheetId="1" r:id="rId1"/>
    <sheet name="Text" sheetId="2" r:id="rId2"/>
  </sheets>
  <calcPr calcId="152511"/>
</workbook>
</file>

<file path=xl/calcChain.xml><?xml version="1.0" encoding="utf-8"?>
<calcChain xmlns="http://schemas.openxmlformats.org/spreadsheetml/2006/main">
  <c r="C29" i="1" l="1"/>
  <c r="D29" i="1"/>
  <c r="E29" i="1"/>
  <c r="F29" i="1"/>
  <c r="G29" i="1"/>
  <c r="H29" i="1"/>
  <c r="I29" i="1"/>
  <c r="J29" i="1"/>
  <c r="K29" i="1"/>
  <c r="C30" i="1"/>
  <c r="D30" i="1"/>
  <c r="E30" i="1"/>
  <c r="F30" i="1"/>
  <c r="G30" i="1"/>
  <c r="H30" i="1"/>
  <c r="I30" i="1"/>
  <c r="J30" i="1"/>
  <c r="K30" i="1"/>
  <c r="B30" i="1"/>
  <c r="B29" i="1"/>
  <c r="C21" i="1"/>
  <c r="D21" i="1"/>
  <c r="E21" i="1"/>
  <c r="F21" i="1"/>
  <c r="G21" i="1"/>
  <c r="H21" i="1"/>
  <c r="I21" i="1"/>
  <c r="J21" i="1"/>
  <c r="K21" i="1"/>
  <c r="C22" i="1"/>
  <c r="D22" i="1"/>
  <c r="E22" i="1"/>
  <c r="F22" i="1"/>
  <c r="G22" i="1"/>
  <c r="H22" i="1"/>
  <c r="I22" i="1"/>
  <c r="J22" i="1"/>
  <c r="K22" i="1"/>
  <c r="C23" i="1"/>
  <c r="D23" i="1"/>
  <c r="E23" i="1"/>
  <c r="F23" i="1"/>
  <c r="G23" i="1"/>
  <c r="H23" i="1"/>
  <c r="I23" i="1"/>
  <c r="J23" i="1"/>
  <c r="K23" i="1"/>
  <c r="C24" i="1"/>
  <c r="D24" i="1"/>
  <c r="E24" i="1"/>
  <c r="F24" i="1"/>
  <c r="G24" i="1"/>
  <c r="H24" i="1"/>
  <c r="I24" i="1"/>
  <c r="J24" i="1"/>
  <c r="K24" i="1"/>
  <c r="C25" i="1"/>
  <c r="D25" i="1"/>
  <c r="E25" i="1"/>
  <c r="F25" i="1"/>
  <c r="G25" i="1"/>
  <c r="H25" i="1"/>
  <c r="I25" i="1"/>
  <c r="J25" i="1"/>
  <c r="K25" i="1"/>
  <c r="C26" i="1"/>
  <c r="D26" i="1"/>
  <c r="E26" i="1"/>
  <c r="F26" i="1"/>
  <c r="G26" i="1"/>
  <c r="H26" i="1"/>
  <c r="I26" i="1"/>
  <c r="J26" i="1"/>
  <c r="K26" i="1"/>
  <c r="C27" i="1"/>
  <c r="D27" i="1"/>
  <c r="E27" i="1"/>
  <c r="F27" i="1"/>
  <c r="G27" i="1"/>
  <c r="H27" i="1"/>
  <c r="I27" i="1"/>
  <c r="J27" i="1"/>
  <c r="K27" i="1"/>
  <c r="B22" i="1"/>
  <c r="B23" i="1"/>
  <c r="B24" i="1"/>
  <c r="B25" i="1"/>
  <c r="B26" i="1"/>
  <c r="B27" i="1"/>
  <c r="B21" i="1"/>
</calcChain>
</file>

<file path=xl/sharedStrings.xml><?xml version="1.0" encoding="utf-8"?>
<sst xmlns="http://schemas.openxmlformats.org/spreadsheetml/2006/main" count="117" uniqueCount="70">
  <si>
    <t>Timestamp</t>
  </si>
  <si>
    <t>I value learning Excel.</t>
  </si>
  <si>
    <t>Excel helps me better learn economics.</t>
  </si>
  <si>
    <t>Compared to a conventional class, I prefer this class that uses screencasts and Excel.</t>
  </si>
  <si>
    <t>I watched the screencasts carefully.</t>
  </si>
  <si>
    <t>I rewind and replay while viewing screencasts.</t>
  </si>
  <si>
    <t>I watched entire screencasts more than once.</t>
  </si>
  <si>
    <t>Learning from watching a screencast is better than reading a textbook.</t>
  </si>
  <si>
    <t>Screencasts are better than sitting in a class listening to a lecture.</t>
  </si>
  <si>
    <t>I liked working in groups in class.</t>
  </si>
  <si>
    <t>I would recommend this class to another student.</t>
  </si>
  <si>
    <t>How can the screencasts be improved?</t>
  </si>
  <si>
    <t>How can in-class activities be improved? What should I keep, avoid, or add?</t>
  </si>
  <si>
    <t>What feedback (criticisms, compliments, suggestions) do you have about anything related to this course?</t>
  </si>
  <si>
    <t>More to the point and direct about what is trying to be resolved.</t>
  </si>
  <si>
    <t>Less group work, more solo tasks and discussions.</t>
  </si>
  <si>
    <t>No text book is my main concern. It was difficult to not have a text to consult when I was confused about something. Also, the extent of which the models involved real economic data. It was apparent that the model did not take into account some things that would most likely happen in the real economy and thus change the final result. Being penalized for interpretation of events that could take place in the real world was troubling. All in all nothing too major.</t>
  </si>
  <si>
    <t>The screencasts only come through on one speaker.  It would be easier to hear them if you found a way to record the screencasts so they would be played out of both speakers.</t>
  </si>
  <si>
    <t>In-class activities can be improved by actually grading them instead of doing the check system.  I think you could add the questions section to all of the handouts.</t>
  </si>
  <si>
    <t>I think that you should really go through and read everyone's answers to the homeworks and review them carefully.  There were a few times I asked questions that never got answered. I would suggest doing review sessions especially for the ISLM and ISLMADAS materials.</t>
  </si>
  <si>
    <t>Give some reading or a supplement either before or after. Close the top ribbon so that you have more space. Have things set up beforehand so that you don't have to walk us through tedious excel things (like the cooking shows, where they make the food beforehand and just pull it out once it's "done")</t>
  </si>
  <si>
    <t>You should keep the worksheets. However the group activities were really fun and good because we could ask each other questions, instead of swamping you with all of the questions of the class.</t>
  </si>
  <si>
    <t>I think you definitely need supplemental reading to understand the theory behind the visual and implementation of excel. Also some of the presentations were extremely repetitive. Other than that no real criticisms a great course overall!</t>
  </si>
  <si>
    <t>The screencasts are ok. You should make them longer, maybe?</t>
  </si>
  <si>
    <t>You could divide a class into 2 parts. The 1st half is spent for doing exercises that relate to the screencasts (like what we did this semester), and the second half is to talk about new things that are not mentioned in screencasts.</t>
  </si>
  <si>
    <t>You should increase the workload of homework. Since it usually takes 10 mins to watch a screencast and 5 mins to do a task. I really want to do more homework.</t>
  </si>
  <si>
    <t>Hard to say. I really enjoyed the capability of playing the screencasts over and over again.</t>
  </si>
  <si>
    <t>Don't be afraid to lecture. At times, I found taking notes from you speaking to the class about a screencast/topic to be more beneficial than working in a group. Also, presentations were a good way to spice up the coursework and get us thinking in terms of real-world examples.</t>
  </si>
  <si>
    <t>I felt like my daily hw wasn't critiqued enough during the end of the semester. I would have benefited from more feedback, because in the end we are all trying to answer your questions by using the correct terminology. I would never know if I'm using it correctly or incorrectly if my hw wasn't graded.</t>
  </si>
  <si>
    <t>The screencasts were good, although sometimes I felt like you did things on Excel that I did not know how to do, so I ended up spending a lot of time trying to figure out what you did or where you went in order to catch up with you.</t>
  </si>
  <si>
    <t>I would keep the presentations, but maybe a little less frequent. It seemed like there was a stretch of weeks where we had a presentation every Friday. Other than that, I felt like the first couple of weeks were kind of rough during class, but once you figured out how much time we had class ran very smoothly.</t>
  </si>
  <si>
    <t>Nothing! I loved this class and would recommend this class to anyone that is wanting to expand their knowledge of Macroeconomics. I had a lot of fun and genuinely enjoyed our class periods. Definitely my favorite class at DePauw so far because I was rarely bored and always found the topics interesting.</t>
  </si>
  <si>
    <t>I felt like they were really good. maybe make it more interactive</t>
  </si>
  <si>
    <t>May be have more exam type question to practice. I would have been so glad if you had some practice questions. Getting acquainted with exam questions, I think, is vital in doing good in exams. I would have been way better off in the exams if for that.</t>
  </si>
  <si>
    <t>Great class, I appreciate how you value every student and made sure they got the main picture.
More texts required maybe, my knowledge in the course might have tripled if we had some kinda detailed text</t>
  </si>
  <si>
    <t>remove group activities, liked the individual activites. 
I did not think doing a screencast task was valuable in class-- just let it be hw.
only have 1/2 the class do presentations on one topic, then the rest on another- otherwise to repetitive.</t>
  </si>
  <si>
    <t>the tests are graded to harshly. you do not tell us whether to brief or detailed, so i waste time in some areas and do not give enough detailed in others. not enough time to be detailed in all answers.</t>
  </si>
  <si>
    <t>A lot of the time audio in the screencasts was pretty poor and I had to turn my speakers all the way up just to hear.</t>
  </si>
  <si>
    <t>In-class activities should maybe be reserved to one a week with the other class times being lectures. I think the in-class group activities were in many cases more like labs than anything else.</t>
  </si>
  <si>
    <t>There were many times where I would watch the screencast, do the tasks, and then come into class and do the in-class activities and still feel like I had only a tenuous grasp of what I was supposed to be learning. I think that having a few classes designated as "lectures" to just teach the ideas would be do so that way everything else is an application and not just a learn by doing. 
Doing this class in a computer room might also alleviate many of the problems we had with technology.</t>
  </si>
  <si>
    <t>A mic that picks you up better! There were some screencasts where I had my volume turned all the way up and I still had to press my ear to the speaker to hear it. Headphones help, but if you could find a way to either talk louder or get a more sensitive mic, that would be helpful.</t>
  </si>
  <si>
    <t>I think you should add AT LEAST one lecture day a week. That really would have helped tie concepts together. Maybe instead of presentations once a week/once every two weeks, you could do a day of lecture instead. I definitely learn better with a teacher right in front of me talking to me. Most of the groups I worked in were more confused than I was, which really didn't help me at all.</t>
  </si>
  <si>
    <t>The ISLMADAS sheet crashes constantly. I can't rename a new sheet, use Fred, or hardly much else without it making Excel crash. Maybe I'm just unlucky since I'm on VMWare, but it's really difficult! I really liked the sheets in the second third of the class, the GDP-Money sheets, where you had notes at the bottom of the to do pages that briefly summed up the screencasts.</t>
  </si>
  <si>
    <t>You talk a lot about unnecessary things. Like about the importance about writing letters.... In a textbook, every sentence is deliberate and important.</t>
  </si>
  <si>
    <t>The presentations were SOOO repetitive. everyone was doing the same thing alll the time. Going over the HW wud be helpful, espically for the hard ones. I really like the beginning of the semester. The end was really boring. I like the real data that we used, instead of the fake G, T and other numbers.</t>
  </si>
  <si>
    <t>I would like physical sheets turned in, especially on hw. Study guides for exams would be helpful. Can you teach us more commands, fomulas,etc that we can use with excel? That would be so great so we can put that on resumes. Goldman Sachs has a test where you can only use ur keyboard on excel, no mouse involved. Can we learn more tricks?</t>
  </si>
  <si>
    <t>I think that it would be awesome if during the screencast the viewer could do some of the work along with you.</t>
  </si>
  <si>
    <t>It'd be awesome if there was more real world applications to the models. The presentations towards the end got better. Make sure that the presentations are on different topics so we don't just hear the same thing over and over.</t>
  </si>
  <si>
    <t>Good class overall. I think that as I suggested, make the screencast something that the viewer can follow along with.</t>
  </si>
  <si>
    <t>I thought for the most part the screencasts were good. Maybe a few of them could have been cut down during parts where you rambled, but overall I thought they were fine.</t>
  </si>
  <si>
    <t>Some of them were too short, while others were too long. Use the timing of our class to adjust them in the future so that they come closer to taking the allotted time</t>
  </si>
  <si>
    <t>I think the presentations could be improved. For one thing, when every student gives a presentation on the same day about the same thing, it's very repetitive, and while that's good for a little to make sure people understand, it just gets boring after a while. Also, it makes the presentations too easy and nonchalant for the students. Having a couple of these style presentations is fine, but a lot of times I felt like they weren't really taken seriously, either by presenters or by the audience. It might be a better idea to have 5 or 6 people present for a longer period of time on one day and rotate through who presents on different topics.
Also, the handouts for the presentations sometimes didn't really help me. Trying to draw 2 graphs for each 2 minute presentation made me really rush to do those and not focus on what was actually being said. I understand that you want students to pay attention, but I think I would have gotten more out of the presentations if I hadn't had to scribble so much stuff down for such a short presentation.</t>
  </si>
  <si>
    <t>You can cut out the parts where you made mistakes and had to redo the step. This way the screencast will be shorter, and students won't get too impatient.</t>
  </si>
  <si>
    <t>You should definitely keep the student presentations. I feel like I learn a lot from preparing my presentation and listening to others presenting. 
In-class group work can be improved. We frequently don't discuss among each other much if the problem is something we already prepared before class. We talk to others a lot more if the problem assigned is something new and just given to us in class.</t>
  </si>
  <si>
    <t>Exam questions can be phrased in a clearer way. 
The first exam is way too long, I could barely finish it on time.</t>
  </si>
  <si>
    <t>The screencasts could move a bit slower at times in their explanations of the material.  Since they moved quickly at times, I would pause and rewind, which helped me learn it better.  The sound was funky at times, but overall I enjoyed them and they really helped me learn.</t>
  </si>
  <si>
    <t>I enjoyed having a worksheet for every class. For one, it is a great documentation for each class's material to review at a later date.  Second, it really helps me follow along in class and pay close attention to all discussions and problems.  I would keep the group projects too.  I really learn well when working with others to understand how they process information differently than I do.  I would also keep the presentations. However, the presentations at times came with very vague instructions (maybe intentionally).  I would have done better with instructions that were a bit clearer in order to present the most effective material to the class.  I would add some more real-world applications through BLS reports that come out during the semester or other pieces of information related to current economic activity.  I do not think you need to add more readings to make your class effective.</t>
  </si>
  <si>
    <t>I loved this course and how it was taught.  I felt prepared for the exams overall.  However, having past exams to review in other classes is always helpful, so maybe that can be a resource for future classes.  Your class is the only one that I've had where I was not mad we ran over time.  I always found the discussions and topics very interesting, so I wanted to come to class and keep learning.  I would suggest a bit more Excel introduction work, whether in class or through a screencast.  I felt prepared since I did a lot of Excel work in my internship; however, I had to teach other students some tricks that were not explicitly taught.  My only complaint is that ISLMADAS was not reviewed before the Comps exam...but you couldn't help that.  You make the classes fun.  I wish I wasn't graduating and could take your class in the fall!</t>
  </si>
  <si>
    <t>I feel the screencasts often focus more on the using Excel technique. I think it would be better if the screencasts have a little bit more dialogue about Econ materials</t>
  </si>
  <si>
    <t>The in-class activities is okay as far as I can tell. However some activities like switching between different groups are quite inefficient. In addition, sometimes the in class presentation is going too fast because of the time limit. It would be helpful if we can go slow at first and then speed up when everyone masters the materials/</t>
  </si>
  <si>
    <t>Although I am aware that this is the first time this class is conducted, some exercise problems before the exam would be extremely helpful. Other than that I think this class is really cool.</t>
  </si>
  <si>
    <t>Getting to the point faster would be an improvement. I know you like introducing things and making side comments, but you could limit this in future screencasts. Also, if possible, maybe you can use another web program besides vimeo that lets you label different areas of the progress bar so we can move our mouse icon over it to see when you are talking about a certain topic.</t>
  </si>
  <si>
    <t>Avoid: 2 minute presentations from every person. Especially when multiple people do the same topic. Maybe have group presentations with more substance and time to present?</t>
  </si>
  <si>
    <t>Overall I really enjoyed the course. It was engaging and the use of Excel was my favorite part. FRED is really cool. 
I actually would have preferred a little more traditional lecturing from you in class. I learned more from the things you said in class than the screencasts and group assignments. 
My only other complaint would be the tedious check plus assignments. When there are so many of them is lessens the value of each assignment. Maybe try to reduce the number of assignments and make them due in a week or in 2 class periods instead of the same day. Of course then you cannot flip the class in the way you intended, but it's worth a thought.</t>
  </si>
  <si>
    <r>
      <t xml:space="preserve">In-class activities can be improved by actually grading them instead of doing the check system.  </t>
    </r>
    <r>
      <rPr>
        <sz val="10"/>
        <color rgb="FFFF0000"/>
        <rFont val="Arial"/>
        <family val="2"/>
      </rPr>
      <t>I think you could add the questions section to all of the handouts.</t>
    </r>
  </si>
  <si>
    <r>
      <t>There were many times where I would watch the screencast, do the tasks, and then come into class and do the in-class activities and still feel like I had only a tenuous grasp of what I was supposed to be learning.</t>
    </r>
    <r>
      <rPr>
        <sz val="10"/>
        <color rgb="FFFF0000"/>
        <rFont val="Arial"/>
        <family val="2"/>
      </rPr>
      <t xml:space="preserve"> I think that having a few classes designated as "lectures" to just teach the ideas</t>
    </r>
    <r>
      <rPr>
        <sz val="10"/>
        <color rgb="FF000000"/>
        <rFont val="Arial"/>
        <family val="2"/>
      </rPr>
      <t xml:space="preserve"> would be do so that way everything else is an application and not just a learn by doing. 
Doing this class in a computer room might also alleviate many of the problems we had with technology.</t>
    </r>
  </si>
  <si>
    <r>
      <t xml:space="preserve">It'd be awesome if there was more real world applications to the models. The presentations towards the end got better. </t>
    </r>
    <r>
      <rPr>
        <sz val="10"/>
        <color rgb="FFFF0000"/>
        <rFont val="Arial"/>
        <family val="2"/>
      </rPr>
      <t>Make sure that the presentations are on different topics so we don't just hear the same thing over and over.</t>
    </r>
  </si>
  <si>
    <r>
      <t xml:space="preserve">I think the presentations could be improved. For one thing, when every student gives a presentation on the same day about the same thing, it's very repetitive, and while that's good for a little to make sure people understand, it just gets boring after a while. Also, it makes the presentations too easy and nonchalant for the students. Having a couple of these style presentations is fine, but a lot of times I felt like they weren't really taken seriously, either by presenters or by the audience. It might be a better idea to </t>
    </r>
    <r>
      <rPr>
        <sz val="10"/>
        <color rgb="FFFF0000"/>
        <rFont val="Arial"/>
        <family val="2"/>
      </rPr>
      <t>have 5 or 6 people present for a longer period of time on one day and rotate through who presents on different topics.</t>
    </r>
    <r>
      <rPr>
        <sz val="10"/>
        <color rgb="FF000000"/>
        <rFont val="Arial"/>
        <family val="2"/>
      </rPr>
      <t xml:space="preserve">
Also, the handouts for the presentations sometimes didn't really help me. Trying to draw 2 graphs for each 2 minute presentation made me really rush to do those and not focus on what was actually being said. I understand that you want students to pay attention, but I think I would have gotten more out of the presentations if I hadn't had to scribble so much stuff down for such a short presentation.</t>
    </r>
  </si>
  <si>
    <r>
      <t xml:space="preserve">You should definitely keep the student presentations. I feel like I learn a lot from preparing my presentation and listening to others presenting. 
In-class group work can be improved. We frequently don't discuss among each other much if the problem is something we already prepared before class. </t>
    </r>
    <r>
      <rPr>
        <sz val="10"/>
        <color rgb="FFFF0000"/>
        <rFont val="Arial"/>
        <family val="2"/>
      </rPr>
      <t>We talk to others a lot more if the problem assigned is something new and just given to us in class.</t>
    </r>
  </si>
  <si>
    <r>
      <t xml:space="preserve">I loved this course and how it was taught.  I felt prepared for the exams overall.  However, having past exams to review in other classes is always helpful, so maybe that can be a resource for future classes.  </t>
    </r>
    <r>
      <rPr>
        <sz val="10"/>
        <color rgb="FFFF0000"/>
        <rFont val="Arial"/>
        <family val="2"/>
      </rPr>
      <t>Your class is the only one that I've had where I was not mad we ran over time.</t>
    </r>
    <r>
      <rPr>
        <sz val="10"/>
        <color rgb="FF000000"/>
        <rFont val="Arial"/>
        <family val="2"/>
      </rPr>
      <t xml:space="preserve">  I always found the discussions and topics very interesting, so I wanted to come to class and keep learning.  I would suggest a bit more Excel introduction work, whether in class or through a screencast.  I felt prepared since I did a lot of Excel work in my internship; however, I had to teach other students some tricks that were not explicitly taught.  My only complaint is that ISLMADAS was not reviewed before the Comps exam...but you couldn't help that.  You make the classes fun.  I wish I wasn't graduating and could take your class in the fall!</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</si>
</sst>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h:mm:ss;@"/>
    <numFmt numFmtId="165" formatCode="0.0"/>
  </numFmts>
  <fonts count="4" x14ac:knownFonts="1">
    <font>
      <sz val="10"/>
      <color rgb="FF000000"/>
      <name val="Arial"/>
    </font>
    <font>
      <b/>
      <sz val="10"/>
      <color rgb="FF000000"/>
      <name val="Arial"/>
      <family val="2"/>
    </font>
    <font>
      <sz val="10"/>
      <color rgb="FF000000"/>
      <name val="Arial"/>
      <family val="2"/>
    </font>
    <font>
      <sz val="10"/>
      <color rgb="FFFF0000"/>
      <name val="Arial"/>
      <family val="2"/>
    </font>
  </fonts>
  <fills count="5">
    <fill>
      <patternFill patternType="none"/>
    </fill>
    <fill>
      <patternFill patternType="gray125"/>
    </fill>
    <fill>
      <patternFill patternType="solid">
        <fgColor rgb="FFDDDDDD"/>
        <bgColor indexed="64"/>
      </patternFill>
    </fill>
    <fill>
      <patternFill patternType="solid">
        <fgColor rgb="FFEEEEEE"/>
        <bgColor indexed="64"/>
      </patternFill>
    </fill>
    <fill>
      <patternFill patternType="solid">
        <fgColor rgb="FFEEEEEE"/>
        <bgColor indexed="64"/>
      </patternFill>
    </fill>
  </fills>
  <borders count="1">
    <border>
      <left/>
      <right/>
      <top/>
      <bottom/>
      <diagonal/>
    </border>
  </borders>
  <cellStyleXfs count="1">
    <xf numFmtId="0" fontId="0" fillId="0" borderId="0"/>
  </cellStyleXfs>
  <cellXfs count="6">
    <xf numFmtId="0" fontId="0" fillId="0" borderId="0" xfId="0" applyAlignment="1">
      <alignment wrapText="1"/>
    </xf>
    <xf numFmtId="0" fontId="1" fillId="2" borderId="0" xfId="0" applyFont="1" applyFill="1" applyAlignment="1">
      <alignment horizontal="center" wrapText="1"/>
    </xf>
    <xf numFmtId="164" fontId="0" fillId="3" borderId="0" xfId="0" applyNumberFormat="1" applyFill="1" applyAlignment="1">
      <alignment wrapText="1"/>
    </xf>
    <xf numFmtId="0" fontId="0" fillId="4" borderId="0" xfId="0" applyFill="1" applyAlignment="1">
      <alignment wrapText="1"/>
    </xf>
    <xf numFmtId="165" fontId="0" fillId="0" borderId="0" xfId="0" applyNumberFormat="1" applyAlignment="1">
      <alignment wrapText="1"/>
    </xf>
    <xf numFmtId="0" fontId="2" fillId="4"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57150</xdr:colOff>
      <xdr:row>36</xdr:row>
      <xdr:rowOff>9525</xdr:rowOff>
    </xdr:from>
    <xdr:to>
      <xdr:col>1</xdr:col>
      <xdr:colOff>180975</xdr:colOff>
      <xdr:row>36</xdr:row>
      <xdr:rowOff>9525</xdr:rowOff>
    </xdr:to>
    <xdr:sp macro="" textlink="">
      <xdr:nvSpPr>
        <xdr:cNvPr id="179" name="Rectangle 178"/>
        <xdr:cNvSpPr/>
      </xdr:nvSpPr>
      <xdr:spPr>
        <a:xfrm>
          <a:off x="232410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200025</xdr:colOff>
      <xdr:row>36</xdr:row>
      <xdr:rowOff>9525</xdr:rowOff>
    </xdr:from>
    <xdr:to>
      <xdr:col>1</xdr:col>
      <xdr:colOff>323850</xdr:colOff>
      <xdr:row>36</xdr:row>
      <xdr:rowOff>9525</xdr:rowOff>
    </xdr:to>
    <xdr:sp macro="" textlink="">
      <xdr:nvSpPr>
        <xdr:cNvPr id="180" name="Rectangle 179"/>
        <xdr:cNvSpPr/>
      </xdr:nvSpPr>
      <xdr:spPr>
        <a:xfrm>
          <a:off x="2466975"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36</xdr:row>
      <xdr:rowOff>9525</xdr:rowOff>
    </xdr:from>
    <xdr:to>
      <xdr:col>1</xdr:col>
      <xdr:colOff>466725</xdr:colOff>
      <xdr:row>36</xdr:row>
      <xdr:rowOff>9525</xdr:rowOff>
    </xdr:to>
    <xdr:sp macro="" textlink="">
      <xdr:nvSpPr>
        <xdr:cNvPr id="181" name="Rectangle 180"/>
        <xdr:cNvSpPr/>
      </xdr:nvSpPr>
      <xdr:spPr>
        <a:xfrm>
          <a:off x="260985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485775</xdr:colOff>
      <xdr:row>36</xdr:row>
      <xdr:rowOff>9525</xdr:rowOff>
    </xdr:from>
    <xdr:to>
      <xdr:col>1</xdr:col>
      <xdr:colOff>609600</xdr:colOff>
      <xdr:row>36</xdr:row>
      <xdr:rowOff>9525</xdr:rowOff>
    </xdr:to>
    <xdr:sp macro="" textlink="">
      <xdr:nvSpPr>
        <xdr:cNvPr id="182" name="Rectangle 181"/>
        <xdr:cNvSpPr/>
      </xdr:nvSpPr>
      <xdr:spPr>
        <a:xfrm>
          <a:off x="2752725"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628650</xdr:colOff>
      <xdr:row>36</xdr:row>
      <xdr:rowOff>9525</xdr:rowOff>
    </xdr:from>
    <xdr:to>
      <xdr:col>1</xdr:col>
      <xdr:colOff>752475</xdr:colOff>
      <xdr:row>36</xdr:row>
      <xdr:rowOff>9525</xdr:rowOff>
    </xdr:to>
    <xdr:sp macro="" textlink="">
      <xdr:nvSpPr>
        <xdr:cNvPr id="183" name="Rectangle 182"/>
        <xdr:cNvSpPr/>
      </xdr:nvSpPr>
      <xdr:spPr>
        <a:xfrm>
          <a:off x="289560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771525</xdr:colOff>
      <xdr:row>35</xdr:row>
      <xdr:rowOff>54909</xdr:rowOff>
    </xdr:from>
    <xdr:to>
      <xdr:col>1</xdr:col>
      <xdr:colOff>895350</xdr:colOff>
      <xdr:row>36</xdr:row>
      <xdr:rowOff>9525</xdr:rowOff>
    </xdr:to>
    <xdr:sp macro="" textlink="">
      <xdr:nvSpPr>
        <xdr:cNvPr id="184" name="Rectangle 183"/>
        <xdr:cNvSpPr/>
      </xdr:nvSpPr>
      <xdr:spPr>
        <a:xfrm>
          <a:off x="3038475" y="669383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914400</xdr:colOff>
      <xdr:row>33</xdr:row>
      <xdr:rowOff>116541</xdr:rowOff>
    </xdr:from>
    <xdr:to>
      <xdr:col>1</xdr:col>
      <xdr:colOff>1038225</xdr:colOff>
      <xdr:row>36</xdr:row>
      <xdr:rowOff>9525</xdr:rowOff>
    </xdr:to>
    <xdr:sp macro="" textlink="">
      <xdr:nvSpPr>
        <xdr:cNvPr id="185" name="Rectangle 184"/>
        <xdr:cNvSpPr/>
      </xdr:nvSpPr>
      <xdr:spPr>
        <a:xfrm>
          <a:off x="3181350" y="6431616"/>
          <a:ext cx="123825" cy="3787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85725</xdr:colOff>
      <xdr:row>36</xdr:row>
      <xdr:rowOff>0</xdr:rowOff>
    </xdr:from>
    <xdr:to>
      <xdr:col>2</xdr:col>
      <xdr:colOff>209550</xdr:colOff>
      <xdr:row>36</xdr:row>
      <xdr:rowOff>0</xdr:rowOff>
    </xdr:to>
    <xdr:sp macro="" textlink="">
      <xdr:nvSpPr>
        <xdr:cNvPr id="186" name="Rectangle 185"/>
        <xdr:cNvSpPr/>
      </xdr:nvSpPr>
      <xdr:spPr>
        <a:xfrm>
          <a:off x="3495675"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228600</xdr:colOff>
      <xdr:row>36</xdr:row>
      <xdr:rowOff>3202</xdr:rowOff>
    </xdr:from>
    <xdr:to>
      <xdr:col>2</xdr:col>
      <xdr:colOff>352425</xdr:colOff>
      <xdr:row>36</xdr:row>
      <xdr:rowOff>3202</xdr:rowOff>
    </xdr:to>
    <xdr:sp macro="" textlink="">
      <xdr:nvSpPr>
        <xdr:cNvPr id="187" name="Rectangle 186"/>
        <xdr:cNvSpPr/>
      </xdr:nvSpPr>
      <xdr:spPr>
        <a:xfrm>
          <a:off x="3638550" y="6804052"/>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36</xdr:row>
      <xdr:rowOff>222</xdr:rowOff>
    </xdr:from>
    <xdr:to>
      <xdr:col>2</xdr:col>
      <xdr:colOff>495300</xdr:colOff>
      <xdr:row>36</xdr:row>
      <xdr:rowOff>222</xdr:rowOff>
    </xdr:to>
    <xdr:sp macro="" textlink="">
      <xdr:nvSpPr>
        <xdr:cNvPr id="188" name="Rectangle 187"/>
        <xdr:cNvSpPr/>
      </xdr:nvSpPr>
      <xdr:spPr>
        <a:xfrm>
          <a:off x="3781425" y="6801072"/>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514350</xdr:colOff>
      <xdr:row>36</xdr:row>
      <xdr:rowOff>0</xdr:rowOff>
    </xdr:from>
    <xdr:to>
      <xdr:col>2</xdr:col>
      <xdr:colOff>638175</xdr:colOff>
      <xdr:row>36</xdr:row>
      <xdr:rowOff>0</xdr:rowOff>
    </xdr:to>
    <xdr:sp macro="" textlink="">
      <xdr:nvSpPr>
        <xdr:cNvPr id="189" name="Rectangle 188"/>
        <xdr:cNvSpPr/>
      </xdr:nvSpPr>
      <xdr:spPr>
        <a:xfrm>
          <a:off x="3924300"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657225</xdr:colOff>
      <xdr:row>35</xdr:row>
      <xdr:rowOff>74519</xdr:rowOff>
    </xdr:from>
    <xdr:to>
      <xdr:col>2</xdr:col>
      <xdr:colOff>781050</xdr:colOff>
      <xdr:row>36</xdr:row>
      <xdr:rowOff>0</xdr:rowOff>
    </xdr:to>
    <xdr:sp macro="" textlink="">
      <xdr:nvSpPr>
        <xdr:cNvPr id="190" name="Rectangle 189"/>
        <xdr:cNvSpPr/>
      </xdr:nvSpPr>
      <xdr:spPr>
        <a:xfrm>
          <a:off x="4067175" y="6713444"/>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800100</xdr:colOff>
      <xdr:row>34</xdr:row>
      <xdr:rowOff>149038</xdr:rowOff>
    </xdr:from>
    <xdr:to>
      <xdr:col>2</xdr:col>
      <xdr:colOff>923925</xdr:colOff>
      <xdr:row>36</xdr:row>
      <xdr:rowOff>0</xdr:rowOff>
    </xdr:to>
    <xdr:sp macro="" textlink="">
      <xdr:nvSpPr>
        <xdr:cNvPr id="191" name="Rectangle 190"/>
        <xdr:cNvSpPr/>
      </xdr:nvSpPr>
      <xdr:spPr>
        <a:xfrm>
          <a:off x="4210050" y="6626038"/>
          <a:ext cx="123825" cy="1748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942975</xdr:colOff>
      <xdr:row>34</xdr:row>
      <xdr:rowOff>90768</xdr:rowOff>
    </xdr:from>
    <xdr:to>
      <xdr:col>2</xdr:col>
      <xdr:colOff>1066800</xdr:colOff>
      <xdr:row>36</xdr:row>
      <xdr:rowOff>0</xdr:rowOff>
    </xdr:to>
    <xdr:sp macro="" textlink="">
      <xdr:nvSpPr>
        <xdr:cNvPr id="192" name="Rectangle 191"/>
        <xdr:cNvSpPr/>
      </xdr:nvSpPr>
      <xdr:spPr>
        <a:xfrm>
          <a:off x="4352925" y="6567768"/>
          <a:ext cx="123825" cy="2330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66675</xdr:colOff>
      <xdr:row>35</xdr:row>
      <xdr:rowOff>123265</xdr:rowOff>
    </xdr:from>
    <xdr:to>
      <xdr:col>3</xdr:col>
      <xdr:colOff>190500</xdr:colOff>
      <xdr:row>35</xdr:row>
      <xdr:rowOff>152400</xdr:rowOff>
    </xdr:to>
    <xdr:sp macro="" textlink="">
      <xdr:nvSpPr>
        <xdr:cNvPr id="193" name="Rectangle 192"/>
        <xdr:cNvSpPr/>
      </xdr:nvSpPr>
      <xdr:spPr>
        <a:xfrm>
          <a:off x="4619625" y="676219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209550</xdr:colOff>
      <xdr:row>35</xdr:row>
      <xdr:rowOff>123265</xdr:rowOff>
    </xdr:from>
    <xdr:to>
      <xdr:col>3</xdr:col>
      <xdr:colOff>333375</xdr:colOff>
      <xdr:row>35</xdr:row>
      <xdr:rowOff>152400</xdr:rowOff>
    </xdr:to>
    <xdr:sp macro="" textlink="">
      <xdr:nvSpPr>
        <xdr:cNvPr id="194" name="Rectangle 193"/>
        <xdr:cNvSpPr/>
      </xdr:nvSpPr>
      <xdr:spPr>
        <a:xfrm>
          <a:off x="4762500" y="676219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35</xdr:row>
      <xdr:rowOff>152400</xdr:rowOff>
    </xdr:from>
    <xdr:to>
      <xdr:col>3</xdr:col>
      <xdr:colOff>476250</xdr:colOff>
      <xdr:row>35</xdr:row>
      <xdr:rowOff>152400</xdr:rowOff>
    </xdr:to>
    <xdr:sp macro="" textlink="">
      <xdr:nvSpPr>
        <xdr:cNvPr id="195" name="Rectangle 194"/>
        <xdr:cNvSpPr/>
      </xdr:nvSpPr>
      <xdr:spPr>
        <a:xfrm>
          <a:off x="4905375" y="679132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495300</xdr:colOff>
      <xdr:row>35</xdr:row>
      <xdr:rowOff>64994</xdr:rowOff>
    </xdr:from>
    <xdr:to>
      <xdr:col>3</xdr:col>
      <xdr:colOff>619125</xdr:colOff>
      <xdr:row>35</xdr:row>
      <xdr:rowOff>152400</xdr:rowOff>
    </xdr:to>
    <xdr:sp macro="" textlink="">
      <xdr:nvSpPr>
        <xdr:cNvPr id="196" name="Rectangle 195"/>
        <xdr:cNvSpPr/>
      </xdr:nvSpPr>
      <xdr:spPr>
        <a:xfrm>
          <a:off x="5048250" y="6703919"/>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638175</xdr:colOff>
      <xdr:row>35</xdr:row>
      <xdr:rowOff>94129</xdr:rowOff>
    </xdr:from>
    <xdr:to>
      <xdr:col>3</xdr:col>
      <xdr:colOff>762000</xdr:colOff>
      <xdr:row>35</xdr:row>
      <xdr:rowOff>152400</xdr:rowOff>
    </xdr:to>
    <xdr:sp macro="" textlink="">
      <xdr:nvSpPr>
        <xdr:cNvPr id="197" name="Rectangle 196"/>
        <xdr:cNvSpPr/>
      </xdr:nvSpPr>
      <xdr:spPr>
        <a:xfrm>
          <a:off x="5191125" y="673305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781050</xdr:colOff>
      <xdr:row>35</xdr:row>
      <xdr:rowOff>35859</xdr:rowOff>
    </xdr:from>
    <xdr:to>
      <xdr:col>3</xdr:col>
      <xdr:colOff>904875</xdr:colOff>
      <xdr:row>35</xdr:row>
      <xdr:rowOff>152400</xdr:rowOff>
    </xdr:to>
    <xdr:sp macro="" textlink="">
      <xdr:nvSpPr>
        <xdr:cNvPr id="198" name="Rectangle 197"/>
        <xdr:cNvSpPr/>
      </xdr:nvSpPr>
      <xdr:spPr>
        <a:xfrm>
          <a:off x="5334000" y="667478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923925</xdr:colOff>
      <xdr:row>34</xdr:row>
      <xdr:rowOff>139513</xdr:rowOff>
    </xdr:from>
    <xdr:to>
      <xdr:col>3</xdr:col>
      <xdr:colOff>1047750</xdr:colOff>
      <xdr:row>35</xdr:row>
      <xdr:rowOff>152400</xdr:rowOff>
    </xdr:to>
    <xdr:sp macro="" textlink="">
      <xdr:nvSpPr>
        <xdr:cNvPr id="199" name="Rectangle 198"/>
        <xdr:cNvSpPr/>
      </xdr:nvSpPr>
      <xdr:spPr>
        <a:xfrm>
          <a:off x="5476875" y="6616513"/>
          <a:ext cx="123825" cy="1748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95250</xdr:colOff>
      <xdr:row>36</xdr:row>
      <xdr:rowOff>0</xdr:rowOff>
    </xdr:from>
    <xdr:to>
      <xdr:col>4</xdr:col>
      <xdr:colOff>219075</xdr:colOff>
      <xdr:row>36</xdr:row>
      <xdr:rowOff>0</xdr:rowOff>
    </xdr:to>
    <xdr:sp macro="" textlink="">
      <xdr:nvSpPr>
        <xdr:cNvPr id="200" name="Rectangle 199"/>
        <xdr:cNvSpPr/>
      </xdr:nvSpPr>
      <xdr:spPr>
        <a:xfrm>
          <a:off x="5791200"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238125</xdr:colOff>
      <xdr:row>36</xdr:row>
      <xdr:rowOff>0</xdr:rowOff>
    </xdr:from>
    <xdr:to>
      <xdr:col>4</xdr:col>
      <xdr:colOff>361950</xdr:colOff>
      <xdr:row>36</xdr:row>
      <xdr:rowOff>0</xdr:rowOff>
    </xdr:to>
    <xdr:sp macro="" textlink="">
      <xdr:nvSpPr>
        <xdr:cNvPr id="201" name="Rectangle 200"/>
        <xdr:cNvSpPr/>
      </xdr:nvSpPr>
      <xdr:spPr>
        <a:xfrm>
          <a:off x="5934075"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381000</xdr:colOff>
      <xdr:row>35</xdr:row>
      <xdr:rowOff>132790</xdr:rowOff>
    </xdr:from>
    <xdr:to>
      <xdr:col>4</xdr:col>
      <xdr:colOff>504825</xdr:colOff>
      <xdr:row>36</xdr:row>
      <xdr:rowOff>0</xdr:rowOff>
    </xdr:to>
    <xdr:sp macro="" textlink="">
      <xdr:nvSpPr>
        <xdr:cNvPr id="202" name="Rectangle 201"/>
        <xdr:cNvSpPr/>
      </xdr:nvSpPr>
      <xdr:spPr>
        <a:xfrm>
          <a:off x="6076950" y="6771715"/>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523875</xdr:colOff>
      <xdr:row>36</xdr:row>
      <xdr:rowOff>0</xdr:rowOff>
    </xdr:from>
    <xdr:to>
      <xdr:col>4</xdr:col>
      <xdr:colOff>647700</xdr:colOff>
      <xdr:row>36</xdr:row>
      <xdr:rowOff>0</xdr:rowOff>
    </xdr:to>
    <xdr:sp macro="" textlink="">
      <xdr:nvSpPr>
        <xdr:cNvPr id="203" name="Rectangle 202"/>
        <xdr:cNvSpPr/>
      </xdr:nvSpPr>
      <xdr:spPr>
        <a:xfrm>
          <a:off x="6219825"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666750</xdr:colOff>
      <xdr:row>35</xdr:row>
      <xdr:rowOff>103654</xdr:rowOff>
    </xdr:from>
    <xdr:to>
      <xdr:col>4</xdr:col>
      <xdr:colOff>790575</xdr:colOff>
      <xdr:row>36</xdr:row>
      <xdr:rowOff>0</xdr:rowOff>
    </xdr:to>
    <xdr:sp macro="" textlink="">
      <xdr:nvSpPr>
        <xdr:cNvPr id="204" name="Rectangle 203"/>
        <xdr:cNvSpPr/>
      </xdr:nvSpPr>
      <xdr:spPr>
        <a:xfrm>
          <a:off x="6362700" y="6742579"/>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809625</xdr:colOff>
      <xdr:row>34</xdr:row>
      <xdr:rowOff>119903</xdr:rowOff>
    </xdr:from>
    <xdr:to>
      <xdr:col>4</xdr:col>
      <xdr:colOff>933450</xdr:colOff>
      <xdr:row>36</xdr:row>
      <xdr:rowOff>0</xdr:rowOff>
    </xdr:to>
    <xdr:sp macro="" textlink="">
      <xdr:nvSpPr>
        <xdr:cNvPr id="205" name="Rectangle 204"/>
        <xdr:cNvSpPr/>
      </xdr:nvSpPr>
      <xdr:spPr>
        <a:xfrm>
          <a:off x="6505575" y="6596903"/>
          <a:ext cx="123825" cy="2039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952500</xdr:colOff>
      <xdr:row>34</xdr:row>
      <xdr:rowOff>119903</xdr:rowOff>
    </xdr:from>
    <xdr:to>
      <xdr:col>4</xdr:col>
      <xdr:colOff>1076325</xdr:colOff>
      <xdr:row>36</xdr:row>
      <xdr:rowOff>0</xdr:rowOff>
    </xdr:to>
    <xdr:sp macro="" textlink="">
      <xdr:nvSpPr>
        <xdr:cNvPr id="206" name="Rectangle 205"/>
        <xdr:cNvSpPr/>
      </xdr:nvSpPr>
      <xdr:spPr>
        <a:xfrm>
          <a:off x="6648450" y="6596903"/>
          <a:ext cx="123825" cy="2039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95250</xdr:colOff>
      <xdr:row>36</xdr:row>
      <xdr:rowOff>0</xdr:rowOff>
    </xdr:from>
    <xdr:to>
      <xdr:col>5</xdr:col>
      <xdr:colOff>219075</xdr:colOff>
      <xdr:row>36</xdr:row>
      <xdr:rowOff>0</xdr:rowOff>
    </xdr:to>
    <xdr:sp macro="" textlink="">
      <xdr:nvSpPr>
        <xdr:cNvPr id="207" name="Rectangle 206"/>
        <xdr:cNvSpPr/>
      </xdr:nvSpPr>
      <xdr:spPr>
        <a:xfrm>
          <a:off x="6934200"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36</xdr:row>
      <xdr:rowOff>0</xdr:rowOff>
    </xdr:from>
    <xdr:to>
      <xdr:col>5</xdr:col>
      <xdr:colOff>361950</xdr:colOff>
      <xdr:row>36</xdr:row>
      <xdr:rowOff>0</xdr:rowOff>
    </xdr:to>
    <xdr:sp macro="" textlink="">
      <xdr:nvSpPr>
        <xdr:cNvPr id="208" name="Rectangle 207"/>
        <xdr:cNvSpPr/>
      </xdr:nvSpPr>
      <xdr:spPr>
        <a:xfrm>
          <a:off x="7077075"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381000</xdr:colOff>
      <xdr:row>36</xdr:row>
      <xdr:rowOff>0</xdr:rowOff>
    </xdr:from>
    <xdr:to>
      <xdr:col>5</xdr:col>
      <xdr:colOff>504825</xdr:colOff>
      <xdr:row>36</xdr:row>
      <xdr:rowOff>0</xdr:rowOff>
    </xdr:to>
    <xdr:sp macro="" textlink="">
      <xdr:nvSpPr>
        <xdr:cNvPr id="209" name="Rectangle 208"/>
        <xdr:cNvSpPr/>
      </xdr:nvSpPr>
      <xdr:spPr>
        <a:xfrm>
          <a:off x="7219950"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523875</xdr:colOff>
      <xdr:row>36</xdr:row>
      <xdr:rowOff>0</xdr:rowOff>
    </xdr:from>
    <xdr:to>
      <xdr:col>5</xdr:col>
      <xdr:colOff>647700</xdr:colOff>
      <xdr:row>36</xdr:row>
      <xdr:rowOff>0</xdr:rowOff>
    </xdr:to>
    <xdr:sp macro="" textlink="">
      <xdr:nvSpPr>
        <xdr:cNvPr id="210" name="Rectangle 209"/>
        <xdr:cNvSpPr/>
      </xdr:nvSpPr>
      <xdr:spPr>
        <a:xfrm>
          <a:off x="7362825"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666750</xdr:colOff>
      <xdr:row>36</xdr:row>
      <xdr:rowOff>0</xdr:rowOff>
    </xdr:from>
    <xdr:to>
      <xdr:col>5</xdr:col>
      <xdr:colOff>790575</xdr:colOff>
      <xdr:row>36</xdr:row>
      <xdr:rowOff>0</xdr:rowOff>
    </xdr:to>
    <xdr:sp macro="" textlink="">
      <xdr:nvSpPr>
        <xdr:cNvPr id="211" name="Rectangle 210"/>
        <xdr:cNvSpPr/>
      </xdr:nvSpPr>
      <xdr:spPr>
        <a:xfrm>
          <a:off x="7505700" y="6800850"/>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34</xdr:row>
      <xdr:rowOff>149038</xdr:rowOff>
    </xdr:from>
    <xdr:to>
      <xdr:col>5</xdr:col>
      <xdr:colOff>933450</xdr:colOff>
      <xdr:row>36</xdr:row>
      <xdr:rowOff>0</xdr:rowOff>
    </xdr:to>
    <xdr:sp macro="" textlink="">
      <xdr:nvSpPr>
        <xdr:cNvPr id="212" name="Rectangle 211"/>
        <xdr:cNvSpPr/>
      </xdr:nvSpPr>
      <xdr:spPr>
        <a:xfrm>
          <a:off x="7648575" y="6626038"/>
          <a:ext cx="123825" cy="1748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952500</xdr:colOff>
      <xdr:row>34</xdr:row>
      <xdr:rowOff>3362</xdr:rowOff>
    </xdr:from>
    <xdr:to>
      <xdr:col>5</xdr:col>
      <xdr:colOff>1076325</xdr:colOff>
      <xdr:row>36</xdr:row>
      <xdr:rowOff>0</xdr:rowOff>
    </xdr:to>
    <xdr:sp macro="" textlink="">
      <xdr:nvSpPr>
        <xdr:cNvPr id="213" name="Rectangle 212"/>
        <xdr:cNvSpPr/>
      </xdr:nvSpPr>
      <xdr:spPr>
        <a:xfrm>
          <a:off x="7791450" y="6480362"/>
          <a:ext cx="123825" cy="3204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35</xdr:row>
      <xdr:rowOff>142315</xdr:rowOff>
    </xdr:from>
    <xdr:to>
      <xdr:col>6</xdr:col>
      <xdr:colOff>209550</xdr:colOff>
      <xdr:row>36</xdr:row>
      <xdr:rowOff>9525</xdr:rowOff>
    </xdr:to>
    <xdr:sp macro="" textlink="">
      <xdr:nvSpPr>
        <xdr:cNvPr id="214" name="Rectangle 213"/>
        <xdr:cNvSpPr/>
      </xdr:nvSpPr>
      <xdr:spPr>
        <a:xfrm>
          <a:off x="8067675"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228600</xdr:colOff>
      <xdr:row>35</xdr:row>
      <xdr:rowOff>142315</xdr:rowOff>
    </xdr:from>
    <xdr:to>
      <xdr:col>6</xdr:col>
      <xdr:colOff>352425</xdr:colOff>
      <xdr:row>36</xdr:row>
      <xdr:rowOff>9525</xdr:rowOff>
    </xdr:to>
    <xdr:sp macro="" textlink="">
      <xdr:nvSpPr>
        <xdr:cNvPr id="215" name="Rectangle 214"/>
        <xdr:cNvSpPr/>
      </xdr:nvSpPr>
      <xdr:spPr>
        <a:xfrm>
          <a:off x="8210550"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371475</xdr:colOff>
      <xdr:row>35</xdr:row>
      <xdr:rowOff>142315</xdr:rowOff>
    </xdr:from>
    <xdr:to>
      <xdr:col>6</xdr:col>
      <xdr:colOff>495300</xdr:colOff>
      <xdr:row>36</xdr:row>
      <xdr:rowOff>9525</xdr:rowOff>
    </xdr:to>
    <xdr:sp macro="" textlink="">
      <xdr:nvSpPr>
        <xdr:cNvPr id="216" name="Rectangle 215"/>
        <xdr:cNvSpPr/>
      </xdr:nvSpPr>
      <xdr:spPr>
        <a:xfrm>
          <a:off x="8353425"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514350</xdr:colOff>
      <xdr:row>35</xdr:row>
      <xdr:rowOff>113179</xdr:rowOff>
    </xdr:from>
    <xdr:to>
      <xdr:col>6</xdr:col>
      <xdr:colOff>638175</xdr:colOff>
      <xdr:row>36</xdr:row>
      <xdr:rowOff>9525</xdr:rowOff>
    </xdr:to>
    <xdr:sp macro="" textlink="">
      <xdr:nvSpPr>
        <xdr:cNvPr id="217" name="Rectangle 216"/>
        <xdr:cNvSpPr/>
      </xdr:nvSpPr>
      <xdr:spPr>
        <a:xfrm>
          <a:off x="8496300" y="675210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657225</xdr:colOff>
      <xdr:row>35</xdr:row>
      <xdr:rowOff>84044</xdr:rowOff>
    </xdr:from>
    <xdr:to>
      <xdr:col>6</xdr:col>
      <xdr:colOff>781050</xdr:colOff>
      <xdr:row>36</xdr:row>
      <xdr:rowOff>9525</xdr:rowOff>
    </xdr:to>
    <xdr:sp macro="" textlink="">
      <xdr:nvSpPr>
        <xdr:cNvPr id="218" name="Rectangle 217"/>
        <xdr:cNvSpPr/>
      </xdr:nvSpPr>
      <xdr:spPr>
        <a:xfrm>
          <a:off x="8639175" y="6722969"/>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800100</xdr:colOff>
      <xdr:row>35</xdr:row>
      <xdr:rowOff>54909</xdr:rowOff>
    </xdr:from>
    <xdr:to>
      <xdr:col>6</xdr:col>
      <xdr:colOff>923925</xdr:colOff>
      <xdr:row>36</xdr:row>
      <xdr:rowOff>9525</xdr:rowOff>
    </xdr:to>
    <xdr:sp macro="" textlink="">
      <xdr:nvSpPr>
        <xdr:cNvPr id="219" name="Rectangle 218"/>
        <xdr:cNvSpPr/>
      </xdr:nvSpPr>
      <xdr:spPr>
        <a:xfrm>
          <a:off x="8782050" y="669383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942975</xdr:colOff>
      <xdr:row>35</xdr:row>
      <xdr:rowOff>25774</xdr:rowOff>
    </xdr:from>
    <xdr:to>
      <xdr:col>6</xdr:col>
      <xdr:colOff>1066800</xdr:colOff>
      <xdr:row>36</xdr:row>
      <xdr:rowOff>9525</xdr:rowOff>
    </xdr:to>
    <xdr:sp macro="" textlink="">
      <xdr:nvSpPr>
        <xdr:cNvPr id="220" name="Rectangle 219"/>
        <xdr:cNvSpPr/>
      </xdr:nvSpPr>
      <xdr:spPr>
        <a:xfrm>
          <a:off x="8924925" y="6664699"/>
          <a:ext cx="123825" cy="145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85725</xdr:colOff>
      <xdr:row>35</xdr:row>
      <xdr:rowOff>142315</xdr:rowOff>
    </xdr:from>
    <xdr:to>
      <xdr:col>7</xdr:col>
      <xdr:colOff>209550</xdr:colOff>
      <xdr:row>36</xdr:row>
      <xdr:rowOff>9525</xdr:rowOff>
    </xdr:to>
    <xdr:sp macro="" textlink="">
      <xdr:nvSpPr>
        <xdr:cNvPr id="221" name="Rectangle 220"/>
        <xdr:cNvSpPr/>
      </xdr:nvSpPr>
      <xdr:spPr>
        <a:xfrm>
          <a:off x="9210675"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36</xdr:row>
      <xdr:rowOff>9525</xdr:rowOff>
    </xdr:from>
    <xdr:to>
      <xdr:col>7</xdr:col>
      <xdr:colOff>352425</xdr:colOff>
      <xdr:row>36</xdr:row>
      <xdr:rowOff>9525</xdr:rowOff>
    </xdr:to>
    <xdr:sp macro="" textlink="">
      <xdr:nvSpPr>
        <xdr:cNvPr id="222" name="Rectangle 221"/>
        <xdr:cNvSpPr/>
      </xdr:nvSpPr>
      <xdr:spPr>
        <a:xfrm>
          <a:off x="935355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371475</xdr:colOff>
      <xdr:row>35</xdr:row>
      <xdr:rowOff>113179</xdr:rowOff>
    </xdr:from>
    <xdr:to>
      <xdr:col>7</xdr:col>
      <xdr:colOff>495300</xdr:colOff>
      <xdr:row>36</xdr:row>
      <xdr:rowOff>9525</xdr:rowOff>
    </xdr:to>
    <xdr:sp macro="" textlink="">
      <xdr:nvSpPr>
        <xdr:cNvPr id="223" name="Rectangle 222"/>
        <xdr:cNvSpPr/>
      </xdr:nvSpPr>
      <xdr:spPr>
        <a:xfrm>
          <a:off x="9496425" y="675210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514350</xdr:colOff>
      <xdr:row>35</xdr:row>
      <xdr:rowOff>54909</xdr:rowOff>
    </xdr:from>
    <xdr:to>
      <xdr:col>7</xdr:col>
      <xdr:colOff>638175</xdr:colOff>
      <xdr:row>36</xdr:row>
      <xdr:rowOff>9525</xdr:rowOff>
    </xdr:to>
    <xdr:sp macro="" textlink="">
      <xdr:nvSpPr>
        <xdr:cNvPr id="224" name="Rectangle 223"/>
        <xdr:cNvSpPr/>
      </xdr:nvSpPr>
      <xdr:spPr>
        <a:xfrm>
          <a:off x="9639300" y="669383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657225</xdr:colOff>
      <xdr:row>34</xdr:row>
      <xdr:rowOff>158563</xdr:rowOff>
    </xdr:from>
    <xdr:to>
      <xdr:col>7</xdr:col>
      <xdr:colOff>781050</xdr:colOff>
      <xdr:row>36</xdr:row>
      <xdr:rowOff>9525</xdr:rowOff>
    </xdr:to>
    <xdr:sp macro="" textlink="">
      <xdr:nvSpPr>
        <xdr:cNvPr id="225" name="Rectangle 224"/>
        <xdr:cNvSpPr/>
      </xdr:nvSpPr>
      <xdr:spPr>
        <a:xfrm>
          <a:off x="9782175" y="6635563"/>
          <a:ext cx="123825" cy="1748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800100</xdr:colOff>
      <xdr:row>35</xdr:row>
      <xdr:rowOff>142315</xdr:rowOff>
    </xdr:from>
    <xdr:to>
      <xdr:col>7</xdr:col>
      <xdr:colOff>923925</xdr:colOff>
      <xdr:row>36</xdr:row>
      <xdr:rowOff>9525</xdr:rowOff>
    </xdr:to>
    <xdr:sp macro="" textlink="">
      <xdr:nvSpPr>
        <xdr:cNvPr id="226" name="Rectangle 225"/>
        <xdr:cNvSpPr/>
      </xdr:nvSpPr>
      <xdr:spPr>
        <a:xfrm>
          <a:off x="9925050"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942975</xdr:colOff>
      <xdr:row>35</xdr:row>
      <xdr:rowOff>84044</xdr:rowOff>
    </xdr:from>
    <xdr:to>
      <xdr:col>7</xdr:col>
      <xdr:colOff>1066800</xdr:colOff>
      <xdr:row>36</xdr:row>
      <xdr:rowOff>9525</xdr:rowOff>
    </xdr:to>
    <xdr:sp macro="" textlink="">
      <xdr:nvSpPr>
        <xdr:cNvPr id="227" name="Rectangle 226"/>
        <xdr:cNvSpPr/>
      </xdr:nvSpPr>
      <xdr:spPr>
        <a:xfrm>
          <a:off x="10067925" y="6722969"/>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76200</xdr:colOff>
      <xdr:row>35</xdr:row>
      <xdr:rowOff>142315</xdr:rowOff>
    </xdr:from>
    <xdr:to>
      <xdr:col>8</xdr:col>
      <xdr:colOff>200025</xdr:colOff>
      <xdr:row>36</xdr:row>
      <xdr:rowOff>9525</xdr:rowOff>
    </xdr:to>
    <xdr:sp macro="" textlink="">
      <xdr:nvSpPr>
        <xdr:cNvPr id="228" name="Rectangle 227"/>
        <xdr:cNvSpPr/>
      </xdr:nvSpPr>
      <xdr:spPr>
        <a:xfrm>
          <a:off x="10344150"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36</xdr:row>
      <xdr:rowOff>9525</xdr:rowOff>
    </xdr:from>
    <xdr:to>
      <xdr:col>8</xdr:col>
      <xdr:colOff>342900</xdr:colOff>
      <xdr:row>36</xdr:row>
      <xdr:rowOff>9525</xdr:rowOff>
    </xdr:to>
    <xdr:sp macro="" textlink="">
      <xdr:nvSpPr>
        <xdr:cNvPr id="229" name="Rectangle 228"/>
        <xdr:cNvSpPr/>
      </xdr:nvSpPr>
      <xdr:spPr>
        <a:xfrm>
          <a:off x="10487025"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361950</xdr:colOff>
      <xdr:row>35</xdr:row>
      <xdr:rowOff>142315</xdr:rowOff>
    </xdr:from>
    <xdr:to>
      <xdr:col>8</xdr:col>
      <xdr:colOff>485775</xdr:colOff>
      <xdr:row>36</xdr:row>
      <xdr:rowOff>9525</xdr:rowOff>
    </xdr:to>
    <xdr:sp macro="" textlink="">
      <xdr:nvSpPr>
        <xdr:cNvPr id="230" name="Rectangle 229"/>
        <xdr:cNvSpPr/>
      </xdr:nvSpPr>
      <xdr:spPr>
        <a:xfrm>
          <a:off x="10629900"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504825</xdr:colOff>
      <xdr:row>35</xdr:row>
      <xdr:rowOff>54909</xdr:rowOff>
    </xdr:from>
    <xdr:to>
      <xdr:col>8</xdr:col>
      <xdr:colOff>628650</xdr:colOff>
      <xdr:row>36</xdr:row>
      <xdr:rowOff>9525</xdr:rowOff>
    </xdr:to>
    <xdr:sp macro="" textlink="">
      <xdr:nvSpPr>
        <xdr:cNvPr id="231" name="Rectangle 230"/>
        <xdr:cNvSpPr/>
      </xdr:nvSpPr>
      <xdr:spPr>
        <a:xfrm>
          <a:off x="10772775" y="669383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647700</xdr:colOff>
      <xdr:row>35</xdr:row>
      <xdr:rowOff>54909</xdr:rowOff>
    </xdr:from>
    <xdr:to>
      <xdr:col>8</xdr:col>
      <xdr:colOff>771525</xdr:colOff>
      <xdr:row>36</xdr:row>
      <xdr:rowOff>9525</xdr:rowOff>
    </xdr:to>
    <xdr:sp macro="" textlink="">
      <xdr:nvSpPr>
        <xdr:cNvPr id="232" name="Rectangle 231"/>
        <xdr:cNvSpPr/>
      </xdr:nvSpPr>
      <xdr:spPr>
        <a:xfrm>
          <a:off x="10915650" y="669383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790575</xdr:colOff>
      <xdr:row>35</xdr:row>
      <xdr:rowOff>84044</xdr:rowOff>
    </xdr:from>
    <xdr:to>
      <xdr:col>8</xdr:col>
      <xdr:colOff>914400</xdr:colOff>
      <xdr:row>36</xdr:row>
      <xdr:rowOff>9525</xdr:rowOff>
    </xdr:to>
    <xdr:sp macro="" textlink="">
      <xdr:nvSpPr>
        <xdr:cNvPr id="233" name="Rectangle 232"/>
        <xdr:cNvSpPr/>
      </xdr:nvSpPr>
      <xdr:spPr>
        <a:xfrm>
          <a:off x="11058525" y="6722969"/>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933450</xdr:colOff>
      <xdr:row>35</xdr:row>
      <xdr:rowOff>113179</xdr:rowOff>
    </xdr:from>
    <xdr:to>
      <xdr:col>8</xdr:col>
      <xdr:colOff>1057275</xdr:colOff>
      <xdr:row>36</xdr:row>
      <xdr:rowOff>9525</xdr:rowOff>
    </xdr:to>
    <xdr:sp macro="" textlink="">
      <xdr:nvSpPr>
        <xdr:cNvPr id="234" name="Rectangle 233"/>
        <xdr:cNvSpPr/>
      </xdr:nvSpPr>
      <xdr:spPr>
        <a:xfrm>
          <a:off x="11201400" y="675210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85725</xdr:colOff>
      <xdr:row>35</xdr:row>
      <xdr:rowOff>84044</xdr:rowOff>
    </xdr:from>
    <xdr:to>
      <xdr:col>9</xdr:col>
      <xdr:colOff>209550</xdr:colOff>
      <xdr:row>36</xdr:row>
      <xdr:rowOff>9525</xdr:rowOff>
    </xdr:to>
    <xdr:sp macro="" textlink="">
      <xdr:nvSpPr>
        <xdr:cNvPr id="235" name="Rectangle 234"/>
        <xdr:cNvSpPr/>
      </xdr:nvSpPr>
      <xdr:spPr>
        <a:xfrm>
          <a:off x="11496675" y="6722969"/>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228600</xdr:colOff>
      <xdr:row>36</xdr:row>
      <xdr:rowOff>9525</xdr:rowOff>
    </xdr:from>
    <xdr:to>
      <xdr:col>9</xdr:col>
      <xdr:colOff>352425</xdr:colOff>
      <xdr:row>36</xdr:row>
      <xdr:rowOff>9525</xdr:rowOff>
    </xdr:to>
    <xdr:sp macro="" textlink="">
      <xdr:nvSpPr>
        <xdr:cNvPr id="236" name="Rectangle 235"/>
        <xdr:cNvSpPr/>
      </xdr:nvSpPr>
      <xdr:spPr>
        <a:xfrm>
          <a:off x="1163955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371475</xdr:colOff>
      <xdr:row>35</xdr:row>
      <xdr:rowOff>142315</xdr:rowOff>
    </xdr:from>
    <xdr:to>
      <xdr:col>9</xdr:col>
      <xdr:colOff>495300</xdr:colOff>
      <xdr:row>36</xdr:row>
      <xdr:rowOff>9525</xdr:rowOff>
    </xdr:to>
    <xdr:sp macro="" textlink="">
      <xdr:nvSpPr>
        <xdr:cNvPr id="237" name="Rectangle 236"/>
        <xdr:cNvSpPr/>
      </xdr:nvSpPr>
      <xdr:spPr>
        <a:xfrm>
          <a:off x="11782425"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514350</xdr:colOff>
      <xdr:row>35</xdr:row>
      <xdr:rowOff>113179</xdr:rowOff>
    </xdr:from>
    <xdr:to>
      <xdr:col>9</xdr:col>
      <xdr:colOff>638175</xdr:colOff>
      <xdr:row>36</xdr:row>
      <xdr:rowOff>9525</xdr:rowOff>
    </xdr:to>
    <xdr:sp macro="" textlink="">
      <xdr:nvSpPr>
        <xdr:cNvPr id="238" name="Rectangle 237"/>
        <xdr:cNvSpPr/>
      </xdr:nvSpPr>
      <xdr:spPr>
        <a:xfrm>
          <a:off x="11925300" y="675210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657225</xdr:colOff>
      <xdr:row>34</xdr:row>
      <xdr:rowOff>129428</xdr:rowOff>
    </xdr:from>
    <xdr:to>
      <xdr:col>9</xdr:col>
      <xdr:colOff>781050</xdr:colOff>
      <xdr:row>36</xdr:row>
      <xdr:rowOff>9525</xdr:rowOff>
    </xdr:to>
    <xdr:sp macro="" textlink="">
      <xdr:nvSpPr>
        <xdr:cNvPr id="239" name="Rectangle 238"/>
        <xdr:cNvSpPr/>
      </xdr:nvSpPr>
      <xdr:spPr>
        <a:xfrm>
          <a:off x="12068175" y="6606428"/>
          <a:ext cx="123825" cy="2039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800100</xdr:colOff>
      <xdr:row>35</xdr:row>
      <xdr:rowOff>142315</xdr:rowOff>
    </xdr:from>
    <xdr:to>
      <xdr:col>9</xdr:col>
      <xdr:colOff>923925</xdr:colOff>
      <xdr:row>36</xdr:row>
      <xdr:rowOff>9525</xdr:rowOff>
    </xdr:to>
    <xdr:sp macro="" textlink="">
      <xdr:nvSpPr>
        <xdr:cNvPr id="240" name="Rectangle 239"/>
        <xdr:cNvSpPr/>
      </xdr:nvSpPr>
      <xdr:spPr>
        <a:xfrm>
          <a:off x="12211050" y="6781240"/>
          <a:ext cx="123825" cy="291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942975</xdr:colOff>
      <xdr:row>35</xdr:row>
      <xdr:rowOff>84044</xdr:rowOff>
    </xdr:from>
    <xdr:to>
      <xdr:col>9</xdr:col>
      <xdr:colOff>1066800</xdr:colOff>
      <xdr:row>36</xdr:row>
      <xdr:rowOff>9525</xdr:rowOff>
    </xdr:to>
    <xdr:sp macro="" textlink="">
      <xdr:nvSpPr>
        <xdr:cNvPr id="241" name="Rectangle 240"/>
        <xdr:cNvSpPr/>
      </xdr:nvSpPr>
      <xdr:spPr>
        <a:xfrm>
          <a:off x="12353925" y="6722969"/>
          <a:ext cx="123825" cy="874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95250</xdr:colOff>
      <xdr:row>36</xdr:row>
      <xdr:rowOff>9525</xdr:rowOff>
    </xdr:from>
    <xdr:to>
      <xdr:col>10</xdr:col>
      <xdr:colOff>219075</xdr:colOff>
      <xdr:row>36</xdr:row>
      <xdr:rowOff>9525</xdr:rowOff>
    </xdr:to>
    <xdr:sp macro="" textlink="">
      <xdr:nvSpPr>
        <xdr:cNvPr id="242" name="Rectangle 241"/>
        <xdr:cNvSpPr/>
      </xdr:nvSpPr>
      <xdr:spPr>
        <a:xfrm>
          <a:off x="1264920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238125</xdr:colOff>
      <xdr:row>36</xdr:row>
      <xdr:rowOff>9525</xdr:rowOff>
    </xdr:from>
    <xdr:to>
      <xdr:col>10</xdr:col>
      <xdr:colOff>361950</xdr:colOff>
      <xdr:row>36</xdr:row>
      <xdr:rowOff>9525</xdr:rowOff>
    </xdr:to>
    <xdr:sp macro="" textlink="">
      <xdr:nvSpPr>
        <xdr:cNvPr id="243" name="Rectangle 242"/>
        <xdr:cNvSpPr/>
      </xdr:nvSpPr>
      <xdr:spPr>
        <a:xfrm>
          <a:off x="12792075"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381000</xdr:colOff>
      <xdr:row>36</xdr:row>
      <xdr:rowOff>9525</xdr:rowOff>
    </xdr:from>
    <xdr:to>
      <xdr:col>10</xdr:col>
      <xdr:colOff>504825</xdr:colOff>
      <xdr:row>36</xdr:row>
      <xdr:rowOff>9525</xdr:rowOff>
    </xdr:to>
    <xdr:sp macro="" textlink="">
      <xdr:nvSpPr>
        <xdr:cNvPr id="244" name="Rectangle 243"/>
        <xdr:cNvSpPr/>
      </xdr:nvSpPr>
      <xdr:spPr>
        <a:xfrm>
          <a:off x="12934950" y="6810375"/>
          <a:ext cx="123825"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523875</xdr:colOff>
      <xdr:row>35</xdr:row>
      <xdr:rowOff>113179</xdr:rowOff>
    </xdr:from>
    <xdr:to>
      <xdr:col>10</xdr:col>
      <xdr:colOff>647700</xdr:colOff>
      <xdr:row>36</xdr:row>
      <xdr:rowOff>9525</xdr:rowOff>
    </xdr:to>
    <xdr:sp macro="" textlink="">
      <xdr:nvSpPr>
        <xdr:cNvPr id="245" name="Rectangle 244"/>
        <xdr:cNvSpPr/>
      </xdr:nvSpPr>
      <xdr:spPr>
        <a:xfrm>
          <a:off x="13077825" y="675210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666750</xdr:colOff>
      <xdr:row>35</xdr:row>
      <xdr:rowOff>113179</xdr:rowOff>
    </xdr:from>
    <xdr:to>
      <xdr:col>10</xdr:col>
      <xdr:colOff>790575</xdr:colOff>
      <xdr:row>36</xdr:row>
      <xdr:rowOff>9525</xdr:rowOff>
    </xdr:to>
    <xdr:sp macro="" textlink="">
      <xdr:nvSpPr>
        <xdr:cNvPr id="246" name="Rectangle 245"/>
        <xdr:cNvSpPr/>
      </xdr:nvSpPr>
      <xdr:spPr>
        <a:xfrm>
          <a:off x="13220700" y="6752104"/>
          <a:ext cx="123825" cy="58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809625</xdr:colOff>
      <xdr:row>35</xdr:row>
      <xdr:rowOff>54909</xdr:rowOff>
    </xdr:from>
    <xdr:to>
      <xdr:col>10</xdr:col>
      <xdr:colOff>933450</xdr:colOff>
      <xdr:row>36</xdr:row>
      <xdr:rowOff>9525</xdr:rowOff>
    </xdr:to>
    <xdr:sp macro="" textlink="">
      <xdr:nvSpPr>
        <xdr:cNvPr id="247" name="Rectangle 246"/>
        <xdr:cNvSpPr/>
      </xdr:nvSpPr>
      <xdr:spPr>
        <a:xfrm>
          <a:off x="13363575" y="6693834"/>
          <a:ext cx="123825" cy="1165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952500</xdr:colOff>
      <xdr:row>34</xdr:row>
      <xdr:rowOff>71157</xdr:rowOff>
    </xdr:from>
    <xdr:to>
      <xdr:col>10</xdr:col>
      <xdr:colOff>1076325</xdr:colOff>
      <xdr:row>36</xdr:row>
      <xdr:rowOff>9525</xdr:rowOff>
    </xdr:to>
    <xdr:sp macro="" textlink="">
      <xdr:nvSpPr>
        <xdr:cNvPr id="248" name="Rectangle 247"/>
        <xdr:cNvSpPr/>
      </xdr:nvSpPr>
      <xdr:spPr>
        <a:xfrm>
          <a:off x="13506450" y="6548157"/>
          <a:ext cx="123825" cy="2622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30"/>
  <sheetViews>
    <sheetView tabSelected="1" workbookViewId="0">
      <pane ySplit="1" topLeftCell="A2" activePane="bottomLeft" state="frozen"/>
      <selection pane="bottomLeft" activeCell="H32" sqref="H32"/>
    </sheetView>
  </sheetViews>
  <sheetFormatPr defaultColWidth="17.140625" defaultRowHeight="12.75" customHeight="1" x14ac:dyDescent="0.2"/>
  <cols>
    <col min="1" max="1" width="34" customWidth="1"/>
  </cols>
  <sheetData>
    <row r="1" spans="1:14" ht="89.25" x14ac:dyDescent="0.2">
      <c r="A1" s="1" t="s">
        <v>0</v>
      </c>
      <c r="B1" s="1" t="s">
        <v>1</v>
      </c>
      <c r="C1" s="1" t="s">
        <v>2</v>
      </c>
      <c r="D1" s="1" t="s">
        <v>3</v>
      </c>
      <c r="E1" s="1" t="s">
        <v>4</v>
      </c>
      <c r="F1" s="1" t="s">
        <v>5</v>
      </c>
      <c r="G1" s="1" t="s">
        <v>6</v>
      </c>
      <c r="H1" s="1" t="s">
        <v>7</v>
      </c>
      <c r="I1" s="1" t="s">
        <v>8</v>
      </c>
      <c r="J1" s="1" t="s">
        <v>9</v>
      </c>
      <c r="K1" s="1" t="s">
        <v>10</v>
      </c>
      <c r="L1" s="1" t="s">
        <v>11</v>
      </c>
      <c r="M1" s="1" t="s">
        <v>12</v>
      </c>
      <c r="N1" s="1" t="s">
        <v>13</v>
      </c>
    </row>
    <row r="2" spans="1:14" ht="12.75" customHeight="1" x14ac:dyDescent="0.2">
      <c r="A2" s="2">
        <v>41766.652916666702</v>
      </c>
      <c r="B2" s="3">
        <v>7</v>
      </c>
      <c r="C2" s="3">
        <v>5</v>
      </c>
      <c r="D2" s="3">
        <v>5</v>
      </c>
      <c r="E2" s="3">
        <v>6</v>
      </c>
      <c r="F2" s="3">
        <v>7</v>
      </c>
      <c r="G2" s="3">
        <v>5</v>
      </c>
      <c r="H2" s="3">
        <v>4</v>
      </c>
      <c r="I2" s="3">
        <v>4</v>
      </c>
      <c r="J2" s="3">
        <v>3</v>
      </c>
      <c r="K2" s="3">
        <v>6</v>
      </c>
      <c r="L2" s="3" t="s">
        <v>14</v>
      </c>
      <c r="M2" s="3" t="s">
        <v>15</v>
      </c>
      <c r="N2" s="3" t="s">
        <v>16</v>
      </c>
    </row>
    <row r="3" spans="1:14" ht="12.75" customHeight="1" x14ac:dyDescent="0.2">
      <c r="A3" s="2">
        <v>41766.653009259302</v>
      </c>
      <c r="B3" s="3">
        <v>6</v>
      </c>
      <c r="C3" s="3">
        <v>5</v>
      </c>
      <c r="D3" s="3">
        <v>5</v>
      </c>
      <c r="E3" s="3">
        <v>6</v>
      </c>
      <c r="F3" s="3">
        <v>7</v>
      </c>
      <c r="G3" s="3">
        <v>7</v>
      </c>
      <c r="H3" s="3">
        <v>5</v>
      </c>
      <c r="I3" s="3">
        <v>6</v>
      </c>
      <c r="J3" s="3">
        <v>5</v>
      </c>
      <c r="K3" s="3">
        <v>6</v>
      </c>
      <c r="L3" s="3" t="s">
        <v>17</v>
      </c>
      <c r="M3" s="3" t="s">
        <v>18</v>
      </c>
      <c r="N3" s="3" t="s">
        <v>19</v>
      </c>
    </row>
    <row r="4" spans="1:14" ht="12.75" customHeight="1" x14ac:dyDescent="0.2">
      <c r="A4" s="2">
        <v>41766.653888888897</v>
      </c>
      <c r="B4" s="3">
        <v>7</v>
      </c>
      <c r="C4" s="3">
        <v>7</v>
      </c>
      <c r="D4" s="3">
        <v>7</v>
      </c>
      <c r="E4" s="3">
        <v>7</v>
      </c>
      <c r="F4" s="3">
        <v>7</v>
      </c>
      <c r="G4" s="3">
        <v>3</v>
      </c>
      <c r="H4" s="3">
        <v>3</v>
      </c>
      <c r="I4" s="3">
        <v>5</v>
      </c>
      <c r="J4" s="3">
        <v>7</v>
      </c>
      <c r="K4" s="3">
        <v>7</v>
      </c>
      <c r="L4" s="3" t="s">
        <v>20</v>
      </c>
      <c r="M4" s="3" t="s">
        <v>21</v>
      </c>
      <c r="N4" s="3" t="s">
        <v>22</v>
      </c>
    </row>
    <row r="5" spans="1:14" ht="12.75" customHeight="1" x14ac:dyDescent="0.2">
      <c r="A5" s="2">
        <v>41766.653842592597</v>
      </c>
      <c r="B5" s="3">
        <v>6</v>
      </c>
      <c r="C5" s="3">
        <v>6</v>
      </c>
      <c r="D5" s="3">
        <v>4</v>
      </c>
      <c r="E5" s="3">
        <v>6</v>
      </c>
      <c r="F5" s="3">
        <v>6</v>
      </c>
      <c r="G5" s="3">
        <v>5</v>
      </c>
      <c r="H5" s="3">
        <v>5</v>
      </c>
      <c r="I5" s="3">
        <v>4</v>
      </c>
      <c r="J5" s="3">
        <v>5</v>
      </c>
      <c r="K5" s="3">
        <v>5</v>
      </c>
      <c r="L5" s="3" t="s">
        <v>23</v>
      </c>
      <c r="M5" s="3" t="s">
        <v>24</v>
      </c>
      <c r="N5" s="3" t="s">
        <v>25</v>
      </c>
    </row>
    <row r="6" spans="1:14" ht="12.75" customHeight="1" x14ac:dyDescent="0.2">
      <c r="A6" s="2">
        <v>41766.654097222199</v>
      </c>
      <c r="B6" s="3">
        <v>7</v>
      </c>
      <c r="C6" s="3">
        <v>7</v>
      </c>
      <c r="D6" s="3">
        <v>7</v>
      </c>
      <c r="E6" s="3">
        <v>7</v>
      </c>
      <c r="F6" s="3">
        <v>7</v>
      </c>
      <c r="G6" s="3">
        <v>4</v>
      </c>
      <c r="H6" s="3">
        <v>5</v>
      </c>
      <c r="I6" s="3">
        <v>7</v>
      </c>
      <c r="J6" s="3">
        <v>4</v>
      </c>
      <c r="K6" s="3">
        <v>7</v>
      </c>
      <c r="L6" s="3" t="s">
        <v>26</v>
      </c>
      <c r="M6" s="3" t="s">
        <v>27</v>
      </c>
      <c r="N6" s="3" t="s">
        <v>28</v>
      </c>
    </row>
    <row r="7" spans="1:14" ht="12.75" customHeight="1" x14ac:dyDescent="0.2">
      <c r="A7" s="2">
        <v>41766.654085648202</v>
      </c>
      <c r="B7" s="3">
        <v>7</v>
      </c>
      <c r="C7" s="3">
        <v>6</v>
      </c>
      <c r="D7" s="3">
        <v>7</v>
      </c>
      <c r="E7" s="3">
        <v>5</v>
      </c>
      <c r="F7" s="3">
        <v>6</v>
      </c>
      <c r="G7" s="3">
        <v>1</v>
      </c>
      <c r="H7" s="3">
        <v>7</v>
      </c>
      <c r="I7" s="3">
        <v>6</v>
      </c>
      <c r="J7" s="3">
        <v>5</v>
      </c>
      <c r="K7" s="3">
        <v>7</v>
      </c>
      <c r="L7" s="3" t="s">
        <v>29</v>
      </c>
      <c r="M7" s="3" t="s">
        <v>30</v>
      </c>
      <c r="N7" s="3" t="s">
        <v>31</v>
      </c>
    </row>
    <row r="8" spans="1:14" ht="12.75" customHeight="1" x14ac:dyDescent="0.2">
      <c r="A8" s="2">
        <v>41766.654050925899</v>
      </c>
      <c r="B8" s="3">
        <v>7</v>
      </c>
      <c r="C8" s="3">
        <v>7</v>
      </c>
      <c r="D8" s="3">
        <v>7</v>
      </c>
      <c r="E8" s="3">
        <v>7</v>
      </c>
      <c r="F8" s="3">
        <v>7</v>
      </c>
      <c r="G8" s="3">
        <v>6</v>
      </c>
      <c r="H8" s="3">
        <v>4</v>
      </c>
      <c r="I8" s="3">
        <v>4</v>
      </c>
      <c r="J8" s="3">
        <v>7</v>
      </c>
      <c r="K8" s="3">
        <v>7</v>
      </c>
      <c r="L8" s="3" t="s">
        <v>32</v>
      </c>
      <c r="M8" s="3" t="s">
        <v>33</v>
      </c>
      <c r="N8" s="3" t="s">
        <v>34</v>
      </c>
    </row>
    <row r="9" spans="1:14" ht="12.75" customHeight="1" x14ac:dyDescent="0.2">
      <c r="A9" s="2">
        <v>41766.654189814799</v>
      </c>
      <c r="B9" s="3">
        <v>7</v>
      </c>
      <c r="C9" s="3">
        <v>7</v>
      </c>
      <c r="D9" s="3">
        <v>7</v>
      </c>
      <c r="E9" s="3">
        <v>7</v>
      </c>
      <c r="F9" s="3">
        <v>7</v>
      </c>
      <c r="G9" s="3">
        <v>7</v>
      </c>
      <c r="H9" s="3">
        <v>5</v>
      </c>
      <c r="I9" s="3">
        <v>5</v>
      </c>
      <c r="J9" s="3">
        <v>1</v>
      </c>
      <c r="K9" s="3">
        <v>7</v>
      </c>
      <c r="L9" s="3"/>
      <c r="M9" s="3" t="s">
        <v>35</v>
      </c>
      <c r="N9" s="3" t="s">
        <v>36</v>
      </c>
    </row>
    <row r="10" spans="1:14" ht="12.75" customHeight="1" x14ac:dyDescent="0.2">
      <c r="A10" s="2">
        <v>41766.654374999998</v>
      </c>
      <c r="B10" s="3">
        <v>6</v>
      </c>
      <c r="C10" s="3">
        <v>6</v>
      </c>
      <c r="D10" s="3">
        <v>2</v>
      </c>
      <c r="E10" s="3">
        <v>3</v>
      </c>
      <c r="F10" s="3">
        <v>7</v>
      </c>
      <c r="G10" s="3">
        <v>7</v>
      </c>
      <c r="H10" s="3">
        <v>5</v>
      </c>
      <c r="I10" s="3">
        <v>2</v>
      </c>
      <c r="J10" s="3">
        <v>1</v>
      </c>
      <c r="K10" s="3">
        <v>5</v>
      </c>
      <c r="L10" s="3" t="s">
        <v>37</v>
      </c>
      <c r="M10" s="3" t="s">
        <v>38</v>
      </c>
      <c r="N10" s="3" t="s">
        <v>39</v>
      </c>
    </row>
    <row r="11" spans="1:14" ht="12.75" customHeight="1" x14ac:dyDescent="0.2">
      <c r="A11" s="2">
        <v>41766.654409722199</v>
      </c>
      <c r="B11" s="3">
        <v>6</v>
      </c>
      <c r="C11" s="3">
        <v>5</v>
      </c>
      <c r="D11" s="3">
        <v>1</v>
      </c>
      <c r="E11" s="3">
        <v>7</v>
      </c>
      <c r="F11" s="3">
        <v>7</v>
      </c>
      <c r="G11" s="3">
        <v>7</v>
      </c>
      <c r="H11" s="3">
        <v>1</v>
      </c>
      <c r="I11" s="3">
        <v>1</v>
      </c>
      <c r="J11" s="3">
        <v>1</v>
      </c>
      <c r="K11" s="3">
        <v>4</v>
      </c>
      <c r="L11" s="3" t="s">
        <v>40</v>
      </c>
      <c r="M11" s="3" t="s">
        <v>41</v>
      </c>
      <c r="N11" s="3" t="s">
        <v>42</v>
      </c>
    </row>
    <row r="12" spans="1:14" ht="12.75" customHeight="1" x14ac:dyDescent="0.2">
      <c r="A12" s="2">
        <v>41766.654560185198</v>
      </c>
      <c r="B12" s="3">
        <v>7</v>
      </c>
      <c r="C12" s="3">
        <v>6</v>
      </c>
      <c r="D12" s="3">
        <v>4</v>
      </c>
      <c r="E12" s="3">
        <v>5</v>
      </c>
      <c r="F12" s="3">
        <v>7</v>
      </c>
      <c r="G12" s="3">
        <v>6</v>
      </c>
      <c r="H12" s="3">
        <v>4</v>
      </c>
      <c r="I12" s="3">
        <v>4</v>
      </c>
      <c r="J12" s="3">
        <v>4</v>
      </c>
      <c r="K12" s="3">
        <v>4</v>
      </c>
      <c r="L12" s="3" t="s">
        <v>43</v>
      </c>
      <c r="M12" s="3" t="s">
        <v>44</v>
      </c>
      <c r="N12" s="3" t="s">
        <v>45</v>
      </c>
    </row>
    <row r="13" spans="1:14" ht="12.75" customHeight="1" x14ac:dyDescent="0.2">
      <c r="A13" s="2">
        <v>41766.6545833333</v>
      </c>
      <c r="B13" s="3">
        <v>7</v>
      </c>
      <c r="C13" s="3">
        <v>7</v>
      </c>
      <c r="D13" s="3">
        <v>6</v>
      </c>
      <c r="E13" s="3">
        <v>6</v>
      </c>
      <c r="F13" s="3">
        <v>7</v>
      </c>
      <c r="G13" s="3">
        <v>4</v>
      </c>
      <c r="H13" s="3">
        <v>6</v>
      </c>
      <c r="I13" s="3">
        <v>6</v>
      </c>
      <c r="J13" s="3">
        <v>7</v>
      </c>
      <c r="K13" s="3">
        <v>7</v>
      </c>
      <c r="L13" s="3" t="s">
        <v>46</v>
      </c>
      <c r="M13" s="3" t="s">
        <v>47</v>
      </c>
      <c r="N13" s="3" t="s">
        <v>48</v>
      </c>
    </row>
    <row r="14" spans="1:14" ht="12.75" customHeight="1" x14ac:dyDescent="0.2">
      <c r="A14" s="2">
        <v>41766.6553935185</v>
      </c>
      <c r="B14" s="3">
        <v>7</v>
      </c>
      <c r="C14" s="3">
        <v>6</v>
      </c>
      <c r="D14" s="3">
        <v>6</v>
      </c>
      <c r="E14" s="3">
        <v>6</v>
      </c>
      <c r="F14" s="3">
        <v>6</v>
      </c>
      <c r="G14" s="3">
        <v>6</v>
      </c>
      <c r="H14" s="3">
        <v>5</v>
      </c>
      <c r="I14" s="3">
        <v>5</v>
      </c>
      <c r="J14" s="3">
        <v>5</v>
      </c>
      <c r="K14" s="3">
        <v>7</v>
      </c>
      <c r="L14" s="3" t="s">
        <v>49</v>
      </c>
      <c r="M14" s="3" t="s">
        <v>50</v>
      </c>
      <c r="N14" s="3" t="s">
        <v>51</v>
      </c>
    </row>
    <row r="15" spans="1:14" ht="12.75" customHeight="1" x14ac:dyDescent="0.2">
      <c r="A15" s="2">
        <v>41766.6555324074</v>
      </c>
      <c r="B15" s="3">
        <v>7</v>
      </c>
      <c r="C15" s="3">
        <v>7</v>
      </c>
      <c r="D15" s="3">
        <v>4</v>
      </c>
      <c r="E15" s="3">
        <v>7</v>
      </c>
      <c r="F15" s="3">
        <v>6</v>
      </c>
      <c r="G15" s="3">
        <v>2</v>
      </c>
      <c r="H15" s="3">
        <v>3</v>
      </c>
      <c r="I15" s="3">
        <v>3</v>
      </c>
      <c r="J15" s="3">
        <v>5</v>
      </c>
      <c r="K15" s="3">
        <v>6</v>
      </c>
      <c r="L15" s="3" t="s">
        <v>52</v>
      </c>
      <c r="M15" s="3" t="s">
        <v>53</v>
      </c>
      <c r="N15" s="3" t="s">
        <v>54</v>
      </c>
    </row>
    <row r="16" spans="1:14" ht="12.75" customHeight="1" x14ac:dyDescent="0.2">
      <c r="A16" s="2">
        <v>41766.655763888899</v>
      </c>
      <c r="B16" s="3">
        <v>7</v>
      </c>
      <c r="C16" s="3">
        <v>7</v>
      </c>
      <c r="D16" s="3">
        <v>6</v>
      </c>
      <c r="E16" s="3">
        <v>6</v>
      </c>
      <c r="F16" s="3">
        <v>6</v>
      </c>
      <c r="G16" s="3">
        <v>6</v>
      </c>
      <c r="H16" s="3">
        <v>7</v>
      </c>
      <c r="I16" s="3">
        <v>5</v>
      </c>
      <c r="J16" s="3">
        <v>5</v>
      </c>
      <c r="K16" s="3">
        <v>7</v>
      </c>
      <c r="L16" s="3" t="s">
        <v>55</v>
      </c>
      <c r="M16" s="3" t="s">
        <v>56</v>
      </c>
      <c r="N16" s="3" t="s">
        <v>57</v>
      </c>
    </row>
    <row r="17" spans="1:14" ht="12.75" customHeight="1" x14ac:dyDescent="0.2">
      <c r="A17" s="2">
        <v>41766.656435185199</v>
      </c>
      <c r="B17" s="3">
        <v>7</v>
      </c>
      <c r="C17" s="3">
        <v>6</v>
      </c>
      <c r="D17" s="3">
        <v>6</v>
      </c>
      <c r="E17" s="3">
        <v>7</v>
      </c>
      <c r="F17" s="3">
        <v>6</v>
      </c>
      <c r="G17" s="3">
        <v>7</v>
      </c>
      <c r="H17" s="3">
        <v>4</v>
      </c>
      <c r="I17" s="3">
        <v>7</v>
      </c>
      <c r="J17" s="3">
        <v>5</v>
      </c>
      <c r="K17" s="3">
        <v>7</v>
      </c>
      <c r="L17" s="3" t="s">
        <v>58</v>
      </c>
      <c r="M17" s="3" t="s">
        <v>59</v>
      </c>
      <c r="N17" s="3" t="s">
        <v>60</v>
      </c>
    </row>
    <row r="18" spans="1:14" ht="12.75" customHeight="1" x14ac:dyDescent="0.2">
      <c r="A18" s="2">
        <v>41766.662407407399</v>
      </c>
      <c r="B18" s="3">
        <v>7</v>
      </c>
      <c r="C18" s="3">
        <v>7</v>
      </c>
      <c r="D18" s="3">
        <v>7</v>
      </c>
      <c r="E18" s="3">
        <v>6</v>
      </c>
      <c r="F18" s="3">
        <v>7</v>
      </c>
      <c r="G18" s="3">
        <v>5</v>
      </c>
      <c r="H18" s="3">
        <v>7</v>
      </c>
      <c r="I18" s="3">
        <v>2</v>
      </c>
      <c r="J18" s="3">
        <v>6</v>
      </c>
      <c r="K18" s="3">
        <v>6</v>
      </c>
      <c r="L18" s="3" t="s">
        <v>61</v>
      </c>
      <c r="M18" s="3" t="s">
        <v>62</v>
      </c>
      <c r="N18" s="3" t="s">
        <v>63</v>
      </c>
    </row>
    <row r="21" spans="1:14" ht="12.75" customHeight="1" x14ac:dyDescent="0.2">
      <c r="A21">
        <v>1</v>
      </c>
      <c r="B21">
        <f>COUNTIF(B$2:B$18,$A21)</f>
        <v>0</v>
      </c>
      <c r="C21">
        <f t="shared" ref="C21:K21" si="0">COUNTIF(C$2:C$18,$A21)</f>
        <v>0</v>
      </c>
      <c r="D21">
        <f t="shared" si="0"/>
        <v>1</v>
      </c>
      <c r="E21">
        <f t="shared" si="0"/>
        <v>0</v>
      </c>
      <c r="F21">
        <f t="shared" si="0"/>
        <v>0</v>
      </c>
      <c r="G21">
        <f t="shared" si="0"/>
        <v>1</v>
      </c>
      <c r="H21">
        <f t="shared" si="0"/>
        <v>1</v>
      </c>
      <c r="I21">
        <f t="shared" si="0"/>
        <v>1</v>
      </c>
      <c r="J21">
        <f t="shared" si="0"/>
        <v>3</v>
      </c>
      <c r="K21">
        <f t="shared" si="0"/>
        <v>0</v>
      </c>
    </row>
    <row r="22" spans="1:14" ht="12.75" customHeight="1" x14ac:dyDescent="0.2">
      <c r="A22">
        <v>2</v>
      </c>
      <c r="B22">
        <f t="shared" ref="B22:K27" si="1">COUNTIF(B$2:B$18,$A22)</f>
        <v>0</v>
      </c>
      <c r="C22">
        <f t="shared" si="1"/>
        <v>0</v>
      </c>
      <c r="D22">
        <f t="shared" si="1"/>
        <v>1</v>
      </c>
      <c r="E22">
        <f t="shared" si="1"/>
        <v>0</v>
      </c>
      <c r="F22">
        <f t="shared" si="1"/>
        <v>0</v>
      </c>
      <c r="G22">
        <f t="shared" si="1"/>
        <v>1</v>
      </c>
      <c r="H22">
        <f t="shared" si="1"/>
        <v>0</v>
      </c>
      <c r="I22">
        <f t="shared" si="1"/>
        <v>2</v>
      </c>
      <c r="J22">
        <f t="shared" si="1"/>
        <v>0</v>
      </c>
      <c r="K22">
        <f t="shared" si="1"/>
        <v>0</v>
      </c>
    </row>
    <row r="23" spans="1:14" ht="12.75" customHeight="1" x14ac:dyDescent="0.2">
      <c r="A23">
        <v>3</v>
      </c>
      <c r="B23">
        <f t="shared" si="1"/>
        <v>0</v>
      </c>
      <c r="C23">
        <f t="shared" si="1"/>
        <v>0</v>
      </c>
      <c r="D23">
        <f t="shared" si="1"/>
        <v>0</v>
      </c>
      <c r="E23">
        <f t="shared" si="1"/>
        <v>1</v>
      </c>
      <c r="F23">
        <f t="shared" si="1"/>
        <v>0</v>
      </c>
      <c r="G23">
        <f t="shared" si="1"/>
        <v>1</v>
      </c>
      <c r="H23">
        <f t="shared" si="1"/>
        <v>2</v>
      </c>
      <c r="I23">
        <f t="shared" si="1"/>
        <v>1</v>
      </c>
      <c r="J23">
        <f t="shared" si="1"/>
        <v>1</v>
      </c>
      <c r="K23">
        <f t="shared" si="1"/>
        <v>0</v>
      </c>
    </row>
    <row r="24" spans="1:14" ht="12.75" customHeight="1" x14ac:dyDescent="0.2">
      <c r="A24">
        <v>4</v>
      </c>
      <c r="B24">
        <f t="shared" si="1"/>
        <v>0</v>
      </c>
      <c r="C24">
        <f t="shared" si="1"/>
        <v>0</v>
      </c>
      <c r="D24">
        <f t="shared" si="1"/>
        <v>3</v>
      </c>
      <c r="E24">
        <f t="shared" si="1"/>
        <v>0</v>
      </c>
      <c r="F24">
        <f t="shared" si="1"/>
        <v>0</v>
      </c>
      <c r="G24">
        <f t="shared" si="1"/>
        <v>2</v>
      </c>
      <c r="H24">
        <f t="shared" si="1"/>
        <v>4</v>
      </c>
      <c r="I24">
        <f t="shared" si="1"/>
        <v>4</v>
      </c>
      <c r="J24">
        <f t="shared" si="1"/>
        <v>2</v>
      </c>
      <c r="K24">
        <f t="shared" si="1"/>
        <v>2</v>
      </c>
    </row>
    <row r="25" spans="1:14" ht="12.75" customHeight="1" x14ac:dyDescent="0.2">
      <c r="A25">
        <v>5</v>
      </c>
      <c r="B25">
        <f t="shared" si="1"/>
        <v>0</v>
      </c>
      <c r="C25">
        <f t="shared" si="1"/>
        <v>3</v>
      </c>
      <c r="D25">
        <f t="shared" si="1"/>
        <v>2</v>
      </c>
      <c r="E25">
        <f t="shared" si="1"/>
        <v>2</v>
      </c>
      <c r="F25">
        <f t="shared" si="1"/>
        <v>0</v>
      </c>
      <c r="G25">
        <f t="shared" si="1"/>
        <v>3</v>
      </c>
      <c r="H25">
        <f t="shared" si="1"/>
        <v>6</v>
      </c>
      <c r="I25">
        <f t="shared" si="1"/>
        <v>4</v>
      </c>
      <c r="J25">
        <f t="shared" si="1"/>
        <v>7</v>
      </c>
      <c r="K25">
        <f t="shared" si="1"/>
        <v>2</v>
      </c>
    </row>
    <row r="26" spans="1:14" ht="12.75" customHeight="1" x14ac:dyDescent="0.2">
      <c r="A26">
        <v>6</v>
      </c>
      <c r="B26">
        <f t="shared" si="1"/>
        <v>4</v>
      </c>
      <c r="C26">
        <f t="shared" si="1"/>
        <v>6</v>
      </c>
      <c r="D26">
        <f t="shared" si="1"/>
        <v>4</v>
      </c>
      <c r="E26">
        <f t="shared" si="1"/>
        <v>7</v>
      </c>
      <c r="F26">
        <f t="shared" si="1"/>
        <v>6</v>
      </c>
      <c r="G26">
        <f t="shared" si="1"/>
        <v>4</v>
      </c>
      <c r="H26">
        <f t="shared" si="1"/>
        <v>1</v>
      </c>
      <c r="I26">
        <f t="shared" si="1"/>
        <v>3</v>
      </c>
      <c r="J26">
        <f t="shared" si="1"/>
        <v>1</v>
      </c>
      <c r="K26">
        <f t="shared" si="1"/>
        <v>4</v>
      </c>
    </row>
    <row r="27" spans="1:14" ht="12.75" customHeight="1" x14ac:dyDescent="0.2">
      <c r="A27">
        <v>7</v>
      </c>
      <c r="B27">
        <f t="shared" si="1"/>
        <v>13</v>
      </c>
      <c r="C27">
        <f t="shared" si="1"/>
        <v>8</v>
      </c>
      <c r="D27">
        <f t="shared" si="1"/>
        <v>6</v>
      </c>
      <c r="E27">
        <f t="shared" si="1"/>
        <v>7</v>
      </c>
      <c r="F27">
        <f t="shared" si="1"/>
        <v>11</v>
      </c>
      <c r="G27">
        <f t="shared" si="1"/>
        <v>5</v>
      </c>
      <c r="H27">
        <f t="shared" si="1"/>
        <v>3</v>
      </c>
      <c r="I27">
        <f t="shared" si="1"/>
        <v>2</v>
      </c>
      <c r="J27">
        <f t="shared" si="1"/>
        <v>3</v>
      </c>
      <c r="K27">
        <f t="shared" si="1"/>
        <v>9</v>
      </c>
    </row>
    <row r="29" spans="1:14" ht="12.75" customHeight="1" x14ac:dyDescent="0.2">
      <c r="B29" s="4">
        <f>AVERAGE(B5:B18)</f>
        <v>6.7857142857142856</v>
      </c>
      <c r="C29" s="4">
        <f t="shared" ref="C29:K29" si="2">AVERAGE(C5:C18)</f>
        <v>6.4285714285714288</v>
      </c>
      <c r="D29" s="4">
        <f t="shared" si="2"/>
        <v>5.2857142857142856</v>
      </c>
      <c r="E29" s="4">
        <f t="shared" si="2"/>
        <v>6.0714285714285712</v>
      </c>
      <c r="F29" s="4">
        <f t="shared" si="2"/>
        <v>6.5714285714285712</v>
      </c>
      <c r="G29" s="4">
        <f t="shared" si="2"/>
        <v>5.2142857142857144</v>
      </c>
      <c r="H29" s="4">
        <f t="shared" si="2"/>
        <v>4.8571428571428568</v>
      </c>
      <c r="I29" s="4">
        <f t="shared" si="2"/>
        <v>4.3571428571428568</v>
      </c>
      <c r="J29" s="4">
        <f t="shared" si="2"/>
        <v>4.3571428571428568</v>
      </c>
      <c r="K29" s="4">
        <f t="shared" si="2"/>
        <v>6.1428571428571432</v>
      </c>
    </row>
    <row r="30" spans="1:14" ht="12.75" customHeight="1" x14ac:dyDescent="0.2">
      <c r="B30" s="4">
        <f>STDEV(B5:B18)</f>
        <v>0.42581531362632019</v>
      </c>
      <c r="C30" s="4">
        <f t="shared" ref="C30:K30" si="3">STDEV(C5:C18)</f>
        <v>0.64620617265886393</v>
      </c>
      <c r="D30" s="4">
        <f t="shared" si="3"/>
        <v>1.9778998741311224</v>
      </c>
      <c r="E30" s="4">
        <f t="shared" si="3"/>
        <v>1.1411388181101383</v>
      </c>
      <c r="F30" s="4">
        <f t="shared" si="3"/>
        <v>0.51355259101309547</v>
      </c>
      <c r="G30" s="4">
        <f t="shared" si="3"/>
        <v>1.8883680959850131</v>
      </c>
      <c r="H30" s="4">
        <f t="shared" si="3"/>
        <v>1.6574838603294899</v>
      </c>
      <c r="I30" s="4">
        <f t="shared" si="3"/>
        <v>1.8649455697209982</v>
      </c>
      <c r="J30" s="4">
        <f t="shared" si="3"/>
        <v>2.023216892329291</v>
      </c>
      <c r="K30" s="4">
        <f t="shared" si="3"/>
        <v>1.1673205911990754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8"/>
  <sheetViews>
    <sheetView topLeftCell="A3" workbookViewId="0">
      <selection activeCell="E6" sqref="E6"/>
    </sheetView>
  </sheetViews>
  <sheetFormatPr defaultRowHeight="12.75" x14ac:dyDescent="0.2"/>
  <cols>
    <col min="1" max="3" width="48.5703125" customWidth="1"/>
  </cols>
  <sheetData>
    <row r="1" spans="1:3" ht="38.25" x14ac:dyDescent="0.2">
      <c r="A1" s="1" t="s">
        <v>11</v>
      </c>
      <c r="B1" s="1" t="s">
        <v>12</v>
      </c>
      <c r="C1" s="1" t="s">
        <v>13</v>
      </c>
    </row>
    <row r="2" spans="1:3" ht="114.75" x14ac:dyDescent="0.2">
      <c r="A2" s="3" t="s">
        <v>14</v>
      </c>
      <c r="B2" s="3" t="s">
        <v>15</v>
      </c>
      <c r="C2" s="3" t="s">
        <v>16</v>
      </c>
    </row>
    <row r="3" spans="1:3" ht="76.5" x14ac:dyDescent="0.2">
      <c r="A3" s="3" t="s">
        <v>17</v>
      </c>
      <c r="B3" s="5" t="s">
        <v>64</v>
      </c>
      <c r="C3" s="3" t="s">
        <v>19</v>
      </c>
    </row>
    <row r="4" spans="1:3" ht="76.5" x14ac:dyDescent="0.2">
      <c r="A4" s="3" t="s">
        <v>20</v>
      </c>
      <c r="B4" s="3" t="s">
        <v>21</v>
      </c>
      <c r="C4" s="3" t="s">
        <v>22</v>
      </c>
    </row>
    <row r="5" spans="1:3" ht="63.75" x14ac:dyDescent="0.2">
      <c r="A5" s="3" t="s">
        <v>23</v>
      </c>
      <c r="B5" s="3" t="s">
        <v>24</v>
      </c>
      <c r="C5" s="3" t="s">
        <v>25</v>
      </c>
    </row>
    <row r="6" spans="1:3" ht="76.5" x14ac:dyDescent="0.2">
      <c r="A6" s="3" t="s">
        <v>26</v>
      </c>
      <c r="B6" s="3" t="s">
        <v>27</v>
      </c>
      <c r="C6" s="3" t="s">
        <v>28</v>
      </c>
    </row>
    <row r="7" spans="1:3" ht="76.5" x14ac:dyDescent="0.2">
      <c r="A7" s="3" t="s">
        <v>29</v>
      </c>
      <c r="B7" s="3" t="s">
        <v>30</v>
      </c>
      <c r="C7" s="3" t="s">
        <v>31</v>
      </c>
    </row>
    <row r="8" spans="1:3" ht="76.5" x14ac:dyDescent="0.2">
      <c r="A8" s="3" t="s">
        <v>32</v>
      </c>
      <c r="B8" s="3" t="s">
        <v>33</v>
      </c>
      <c r="C8" s="3" t="s">
        <v>34</v>
      </c>
    </row>
    <row r="9" spans="1:3" ht="76.5" x14ac:dyDescent="0.2">
      <c r="A9" s="3"/>
      <c r="B9" s="3" t="s">
        <v>35</v>
      </c>
      <c r="C9" s="3" t="s">
        <v>36</v>
      </c>
    </row>
    <row r="10" spans="1:3" ht="140.25" x14ac:dyDescent="0.2">
      <c r="A10" s="3" t="s">
        <v>37</v>
      </c>
      <c r="B10" s="3" t="s">
        <v>38</v>
      </c>
      <c r="C10" s="5" t="s">
        <v>65</v>
      </c>
    </row>
    <row r="11" spans="1:3" ht="102" x14ac:dyDescent="0.2">
      <c r="A11" s="3" t="s">
        <v>40</v>
      </c>
      <c r="B11" s="3" t="s">
        <v>41</v>
      </c>
      <c r="C11" s="3" t="s">
        <v>42</v>
      </c>
    </row>
    <row r="12" spans="1:3" ht="89.25" x14ac:dyDescent="0.2">
      <c r="A12" s="3" t="s">
        <v>43</v>
      </c>
      <c r="B12" s="3" t="s">
        <v>44</v>
      </c>
      <c r="C12" s="3" t="s">
        <v>45</v>
      </c>
    </row>
    <row r="13" spans="1:3" ht="63.75" x14ac:dyDescent="0.2">
      <c r="A13" s="3" t="s">
        <v>46</v>
      </c>
      <c r="B13" s="5" t="s">
        <v>66</v>
      </c>
      <c r="C13" s="3" t="s">
        <v>48</v>
      </c>
    </row>
    <row r="14" spans="1:3" ht="267.75" x14ac:dyDescent="0.2">
      <c r="A14" s="3" t="s">
        <v>49</v>
      </c>
      <c r="B14" s="3" t="s">
        <v>50</v>
      </c>
      <c r="C14" s="5" t="s">
        <v>67</v>
      </c>
    </row>
    <row r="15" spans="1:3" ht="114.75" x14ac:dyDescent="0.2">
      <c r="A15" s="3" t="s">
        <v>52</v>
      </c>
      <c r="B15" s="5" t="s">
        <v>68</v>
      </c>
      <c r="C15" s="3" t="s">
        <v>54</v>
      </c>
    </row>
    <row r="16" spans="1:3" ht="216.75" x14ac:dyDescent="0.2">
      <c r="A16" s="3" t="s">
        <v>55</v>
      </c>
      <c r="B16" s="3" t="s">
        <v>56</v>
      </c>
      <c r="C16" s="5" t="s">
        <v>69</v>
      </c>
    </row>
    <row r="17" spans="1:3" ht="89.25" x14ac:dyDescent="0.2">
      <c r="A17" s="3" t="s">
        <v>58</v>
      </c>
      <c r="B17" s="3" t="s">
        <v>59</v>
      </c>
      <c r="C17" s="3" t="s">
        <v>60</v>
      </c>
    </row>
    <row r="18" spans="1:3" ht="204" x14ac:dyDescent="0.2">
      <c r="A18" s="3" t="s">
        <v>61</v>
      </c>
      <c r="B18" s="3" t="s">
        <v>62</v>
      </c>
      <c r="C18" s="3" t="s">
        <v>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Form Responses</vt:lpstr>
      <vt:lpstr>Text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Humberto Barreto</dc:creator>
  <cp:lastModifiedBy>Humberto Barreto</cp:lastModifiedBy>
  <dcterms:created xsi:type="dcterms:W3CDTF">2014-05-13T17:51:27Z</dcterms:created>
  <dcterms:modified xsi:type="dcterms:W3CDTF">2014-06-11T15:33:11Z</dcterms:modified>
</cp:coreProperties>
</file>